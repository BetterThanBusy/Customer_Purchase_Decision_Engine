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 me" sheetId="1" state="visible" r:id="rId1"/>
    <sheet name="01 Customer snapshot" sheetId="2" state="visible" r:id="rId2"/>
    <sheet name="02 Model scorecard" sheetId="3" state="visible" r:id="rId3"/>
    <sheet name="03 Customer states" sheetId="4" state="visible" r:id="rId4"/>
    <sheet name="04 Action catalogue" sheetId="5" state="visible" r:id="rId5"/>
    <sheet name="05 Break-even calculator" sheetId="6" state="visible" r:id="rId6"/>
    <sheet name="06 State x action" sheetId="7" state="visible" r:id="rId7"/>
    <sheet name="07 Priority customers" sheetId="8" state="visible" r:id="rId8"/>
    <sheet name="08 Budget" sheetId="9" state="visible" r:id="rId9"/>
    <sheet name="09 Experiment design" sheetId="10" state="visible" r:id="rId10"/>
    <sheet name="10 Playbo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x"/>
    <numFmt numFmtId="167" formatCode="#,##0.00;(#,##0.00);-"/>
  </numFmts>
  <fonts count="12">
    <font>
      <name val="Calibri"/>
      <family val="2"/>
      <color theme="1"/>
      <sz val="11"/>
      <scheme val="minor"/>
    </font>
    <font>
      <name val="Arial"/>
      <b val="1"/>
      <color rgb="0051051E"/>
      <sz val="14"/>
    </font>
    <font>
      <name val="Arial"/>
      <i val="1"/>
      <color rgb="005A5A5A"/>
      <sz val="9"/>
    </font>
    <font>
      <name val="Arial"/>
      <color rgb="00000000"/>
      <sz val="10"/>
    </font>
    <font>
      <name val="Arial"/>
      <b val="1"/>
      <color rgb="0051051E"/>
      <sz val="10"/>
    </font>
    <font>
      <name val="Arial"/>
      <b val="1"/>
      <color rgb="00FFFFFF"/>
      <sz val="11"/>
    </font>
    <font>
      <name val="Arial"/>
      <b val="1"/>
      <color rgb="0051051E"/>
      <sz val="11"/>
    </font>
    <font>
      <name val="Arial"/>
      <b val="1"/>
      <color rgb="000000FF"/>
      <sz val="10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FF4500"/>
      <sz val="10"/>
    </font>
    <font>
      <name val="Arial"/>
      <b val="1"/>
      <color rgb="00043C4D"/>
      <sz val="10"/>
    </font>
  </fonts>
  <fills count="6">
    <fill>
      <patternFill/>
    </fill>
    <fill>
      <patternFill patternType="gray125"/>
    </fill>
    <fill>
      <patternFill patternType="solid">
        <fgColor rgb="00E3DACF"/>
      </patternFill>
    </fill>
    <fill>
      <patternFill patternType="solid">
        <fgColor rgb="0051051E"/>
      </patternFill>
    </fill>
    <fill>
      <patternFill patternType="solid">
        <fgColor rgb="00F7F1E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9BCAA"/>
      </left>
      <right style="thin">
        <color rgb="00C9BCAA"/>
      </right>
      <top style="thin">
        <color rgb="00C9BCAA"/>
      </top>
      <bottom style="thin">
        <color rgb="00C9BCA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2" fontId="3" fillId="4" borderId="1" pivotButton="0" quotePrefix="0" xfId="0"/>
    <xf numFmtId="165" fontId="3" fillId="4" borderId="1" pivotButton="0" quotePrefix="0" xfId="0"/>
    <xf numFmtId="0" fontId="6" fillId="2" borderId="0" pivotButton="0" quotePrefix="0" xfId="0"/>
    <xf numFmtId="164" fontId="3" fillId="0" borderId="1" pivotButton="0" quotePrefix="0" xfId="0"/>
    <xf numFmtId="164" fontId="3" fillId="4" borderId="1" pivotButton="0" quotePrefix="0" xfId="0"/>
    <xf numFmtId="4" fontId="3" fillId="0" borderId="1" pivotButton="0" quotePrefix="0" xfId="0"/>
    <xf numFmtId="165" fontId="7" fillId="5" borderId="1" pivotButton="0" quotePrefix="0" xfId="0"/>
    <xf numFmtId="4" fontId="3" fillId="4" borderId="1" pivotButton="0" quotePrefix="0" xfId="0"/>
    <xf numFmtId="0" fontId="0" fillId="2" borderId="0" pivotButton="0" quotePrefix="0" xfId="0"/>
    <xf numFmtId="4" fontId="7" fillId="5" borderId="1" pivotButton="0" quotePrefix="0" xfId="0"/>
    <xf numFmtId="0" fontId="8" fillId="0" borderId="0" pivotButton="0" quotePrefix="0" xfId="0"/>
    <xf numFmtId="9" fontId="3" fillId="0" borderId="1" pivotButton="0" quotePrefix="0" xfId="0"/>
    <xf numFmtId="10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  <xf numFmtId="9" fontId="3" fillId="4" borderId="1" pivotButton="0" quotePrefix="0" xfId="0"/>
    <xf numFmtId="10" fontId="3" fillId="4" borderId="1" pivotButton="0" quotePrefix="0" xfId="0"/>
    <xf numFmtId="166" fontId="3" fillId="4" borderId="1" pivotButton="0" quotePrefix="0" xfId="0"/>
    <xf numFmtId="167" fontId="3" fillId="4" borderId="1" pivotButton="0" quotePrefix="0" xfId="0"/>
    <xf numFmtId="0" fontId="4" fillId="0" borderId="0" pivotButton="0" quotePrefix="0" xfId="0"/>
    <xf numFmtId="3" fontId="9" fillId="0" borderId="1" pivotButton="0" quotePrefix="0" xfId="0"/>
    <xf numFmtId="4" fontId="9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8" customWidth="1" min="2" max="2"/>
  </cols>
  <sheetData>
    <row r="1">
      <c r="A1" s="1" t="inlineStr">
        <is>
          <t>Customer Purchase Decision Engine — presentation tables</t>
        </is>
      </c>
    </row>
    <row r="2">
      <c r="A2" s="2" t="inlineStr">
        <is>
          <t>Companion to outputs/charts/. Each sheet maps to a beat in the video.</t>
        </is>
      </c>
    </row>
    <row r="4">
      <c r="A4" s="3" t="inlineStr"/>
      <c r="B4" s="3" t="inlineStr"/>
    </row>
    <row r="5">
      <c r="A5" s="4" t="inlineStr">
        <is>
          <t>COLOUR CONVENTION</t>
        </is>
      </c>
      <c r="B5" s="3" t="inlineStr"/>
    </row>
    <row r="6">
      <c r="A6" s="3" t="inlineStr">
        <is>
          <t>Blue bold text</t>
        </is>
      </c>
      <c r="B6" s="3" t="inlineStr">
        <is>
          <t>an input you can change — the sheet recalculates</t>
        </is>
      </c>
    </row>
    <row r="7">
      <c r="A7" s="3" t="inlineStr">
        <is>
          <t>Black text</t>
        </is>
      </c>
      <c r="B7" s="3" t="inlineStr">
        <is>
          <t>a formula or a computed result</t>
        </is>
      </c>
    </row>
    <row r="8">
      <c r="A8" s="3" t="inlineStr">
        <is>
          <t>Yellow fill</t>
        </is>
      </c>
      <c r="B8" s="3" t="inlineStr">
        <is>
          <t>a key assumption, stated rather than buried</t>
        </is>
      </c>
    </row>
    <row r="9">
      <c r="A9" s="3" t="inlineStr"/>
      <c r="B9" s="3" t="inlineStr"/>
    </row>
    <row r="10">
      <c r="A10" s="4" t="inlineStr">
        <is>
          <t>SHEET MAP</t>
        </is>
      </c>
      <c r="B10" s="3" t="inlineStr"/>
    </row>
    <row r="11">
      <c r="A11" s="3" t="inlineStr">
        <is>
          <t>01 Customer snapshot</t>
        </is>
      </c>
      <c r="B11" s="3" t="inlineStr">
        <is>
          <t>what one row of the modelling table looks like</t>
        </is>
      </c>
    </row>
    <row r="12">
      <c r="A12" s="3" t="inlineStr">
        <is>
          <t>02 Model scorecard</t>
        </is>
      </c>
      <c r="B12" s="3" t="inlineStr">
        <is>
          <t>baselines, model, calibration — the evidence it works</t>
        </is>
      </c>
    </row>
    <row r="13">
      <c r="A13" s="3" t="inlineStr">
        <is>
          <t>03 Customer states</t>
        </is>
      </c>
      <c r="B13" s="3" t="inlineStr">
        <is>
          <t>the segmentation, with size, likelihood and value</t>
        </is>
      </c>
    </row>
    <row r="14">
      <c r="A14" s="3" t="inlineStr">
        <is>
          <t>04 Action catalogue</t>
        </is>
      </c>
      <c r="B14" s="3" t="inlineStr">
        <is>
          <t>every action priced by what it costs, not what it is called</t>
        </is>
      </c>
    </row>
    <row r="15">
      <c r="A15" s="3" t="inlineStr">
        <is>
          <t>05 Break-even calculator</t>
        </is>
      </c>
      <c r="B15" s="3" t="inlineStr">
        <is>
          <t>LIVE. Change margin or discount and watch the grid move</t>
        </is>
      </c>
    </row>
    <row r="16">
      <c r="A16" s="3" t="inlineStr">
        <is>
          <t>06 State x action</t>
        </is>
      </c>
      <c r="B16" s="3" t="inlineStr">
        <is>
          <t>which state receives which action</t>
        </is>
      </c>
    </row>
    <row r="17">
      <c r="A17" s="3" t="inlineStr">
        <is>
          <t>07 Priority customers</t>
        </is>
      </c>
      <c r="B17" s="3" t="inlineStr">
        <is>
          <t>the list a marketer would actually work</t>
        </is>
      </c>
    </row>
    <row r="18">
      <c r="A18" s="3" t="inlineStr">
        <is>
          <t>08 Budget</t>
        </is>
      </c>
      <c r="B18" s="3" t="inlineStr">
        <is>
          <t>cost of this cycle and the uplift it must deliver</t>
        </is>
      </c>
    </row>
    <row r="19">
      <c r="A19" s="3" t="inlineStr">
        <is>
          <t>09 Experiment design</t>
        </is>
      </c>
      <c r="B19" s="3" t="inlineStr">
        <is>
          <t>control cells and what they can detect</t>
        </is>
      </c>
    </row>
    <row r="20">
      <c r="A20" s="3" t="inlineStr">
        <is>
          <t>10 Playbook</t>
        </is>
      </c>
      <c r="B20" s="3" t="inlineStr">
        <is>
          <t>what each segment actually gets — do, do not, and how it is judged</t>
        </is>
      </c>
    </row>
    <row r="21">
      <c r="A21" s="3" t="inlineStr"/>
      <c r="B21" s="3" t="inlineStr"/>
    </row>
    <row r="22">
      <c r="A22" s="4" t="inlineStr">
        <is>
          <t>HEADLINE NUMBERS</t>
        </is>
      </c>
      <c r="B22" s="3" t="inlineStr"/>
    </row>
    <row r="23">
      <c r="A23" s="3" t="inlineStr">
        <is>
          <t>Model selected</t>
        </is>
      </c>
      <c r="B23" s="3" t="inlineStr">
        <is>
          <t>gradient_boosting</t>
        </is>
      </c>
    </row>
    <row r="24">
      <c r="A24" s="3" t="inlineStr">
        <is>
          <t>Test ROC-AUC</t>
        </is>
      </c>
      <c r="B24" s="5" t="n">
        <v>0.7828000000000001</v>
      </c>
    </row>
    <row r="25">
      <c r="A25" s="3" t="inlineStr">
        <is>
          <t>Test PR-AUC</t>
        </is>
      </c>
      <c r="B25" s="5" t="n">
        <v>0.5713</v>
      </c>
    </row>
    <row r="26">
      <c r="A26" s="3" t="inlineStr">
        <is>
          <t>Test base rate</t>
        </is>
      </c>
      <c r="B26" s="6" t="n">
        <v>0.2328</v>
      </c>
    </row>
    <row r="27">
      <c r="A27" s="3" t="inlineStr">
        <is>
          <t>Median AOV used in economics</t>
        </is>
      </c>
      <c r="B27" s="3" t="n">
        <v>287.83</v>
      </c>
    </row>
    <row r="28">
      <c r="A28" s="3" t="inlineStr">
        <is>
          <t>Gross margin assumption</t>
        </is>
      </c>
      <c r="B28" s="6" t="n">
        <v>0.35</v>
      </c>
    </row>
    <row r="29">
      <c r="A29" s="3" t="inlineStr">
        <is>
          <t>Control holdout share</t>
        </is>
      </c>
      <c r="B29" s="6" t="n">
        <v>0.1</v>
      </c>
    </row>
    <row r="30">
      <c r="A30" s="3" t="inlineStr"/>
      <c r="B30" s="3" t="inlineStr"/>
    </row>
    <row r="31">
      <c r="A31" s="4" t="inlineStr">
        <is>
          <t>THE CALIBRATION TRAP</t>
        </is>
      </c>
      <c r="B31" s="3" t="inlineStr"/>
    </row>
    <row r="32">
      <c r="A32" s="3" t="inlineStr">
        <is>
          <t>Observed repeat rate (validation)</t>
        </is>
      </c>
      <c r="B32" s="5" t="n">
        <v>0.1817</v>
      </c>
    </row>
    <row r="33">
      <c r="A33" s="3" t="inlineStr">
        <is>
          <t>Mean predicted, class_weight='balanced'</t>
        </is>
      </c>
      <c r="B33" s="5" t="n">
        <v>0.3792</v>
      </c>
    </row>
    <row r="34">
      <c r="A34" s="3" t="inlineStr">
        <is>
          <t>Mean predicted, unweighted</t>
        </is>
      </c>
      <c r="B34" s="5" t="n">
        <v>0.1881</v>
      </c>
    </row>
    <row r="37">
      <c r="A37" s="7" t="inlineStr">
        <is>
          <t>Every number here comes from the temporal test window only. assumed_uplift values throughout the workbook are [Guessing] — priors standing in for evidence that does not exist yet. The experiment sheet is how they get replaced.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26" customWidth="1" min="4" max="4"/>
    <col width="22" customWidth="1" min="5" max="5"/>
    <col width="12" customWidth="1" min="6" max="6"/>
    <col width="21" customWidth="1" min="7" max="7"/>
    <col width="21" customWidth="1" min="8" max="8"/>
    <col width="20" customWidth="1" min="9" max="9"/>
    <col width="23" customWidth="1" min="10" max="10"/>
    <col width="23" customWidth="1" min="11" max="11"/>
    <col width="12" customWidth="1" min="12" max="12"/>
    <col width="23" customWidth="1" min="13" max="13"/>
    <col width="22" customWidth="1" min="14" max="14"/>
  </cols>
  <sheetData>
    <row r="1">
      <c r="A1" s="1" t="inlineStr">
        <is>
          <t>One row per customer, per point in time</t>
        </is>
      </c>
    </row>
    <row r="2">
      <c r="A2" s="2" t="inlineStr">
        <is>
          <t>This is what a million transaction rows become before any modelling happens.</t>
        </is>
      </c>
    </row>
    <row r="4">
      <c r="A4" s="8" t="inlineStr">
        <is>
          <t>customer_id</t>
        </is>
      </c>
      <c r="B4" s="8" t="inlineStr">
        <is>
          <t>snapshot_date</t>
        </is>
      </c>
      <c r="C4" s="8" t="inlineStr">
        <is>
          <t>recency_days</t>
        </is>
      </c>
      <c r="D4" s="8" t="inlineStr">
        <is>
          <t>interpurchase_mean_days</t>
        </is>
      </c>
      <c r="E4" s="8" t="inlineStr">
        <is>
          <t>recency_ratio</t>
        </is>
      </c>
      <c r="F4" s="8" t="inlineStr">
        <is>
          <t>frequency</t>
        </is>
      </c>
      <c r="G4" s="8" t="inlineStr">
        <is>
          <t>monetary</t>
        </is>
      </c>
      <c r="H4" s="8" t="inlineStr">
        <is>
          <t>aov</t>
        </is>
      </c>
      <c r="I4" s="8" t="inlineStr">
        <is>
          <t>distinct_products</t>
        </is>
      </c>
      <c r="J4" s="8" t="inlineStr">
        <is>
          <t>revenue_trend</t>
        </is>
      </c>
      <c r="K4" s="8" t="inlineStr">
        <is>
          <t>return_rate</t>
        </is>
      </c>
      <c r="L4" s="8" t="inlineStr">
        <is>
          <t>lifecycle</t>
        </is>
      </c>
      <c r="M4" s="8" t="inlineStr">
        <is>
          <t>purchase_probability</t>
        </is>
      </c>
      <c r="N4" s="8" t="inlineStr">
        <is>
          <t>purchased_again_30d</t>
        </is>
      </c>
    </row>
    <row r="5">
      <c r="A5" s="9" t="inlineStr">
        <is>
          <t>18102</t>
        </is>
      </c>
      <c r="B5" s="9" t="inlineStr">
        <is>
          <t>2011-11-01</t>
        </is>
      </c>
      <c r="C5" s="9" t="n">
        <v>10</v>
      </c>
      <c r="D5" s="10" t="n">
        <v>5.177777777777778</v>
      </c>
      <c r="E5" s="11" t="n">
        <v>1.931330472103004</v>
      </c>
      <c r="F5" s="9" t="n">
        <v>136</v>
      </c>
      <c r="G5" s="10" t="n">
        <v>582005.03</v>
      </c>
      <c r="H5" s="10" t="n">
        <v>4279.44875</v>
      </c>
      <c r="I5" s="9" t="n">
        <v>376</v>
      </c>
      <c r="J5" s="11" t="n">
        <v>1.06164763418294</v>
      </c>
      <c r="K5" s="12" t="n">
        <v>0.05555555555555555</v>
      </c>
      <c r="L5" s="9" t="inlineStr">
        <is>
          <t>ACTIVE</t>
        </is>
      </c>
      <c r="M5" s="12" t="n">
        <v>0.965064914003696</v>
      </c>
      <c r="N5" s="9" t="n">
        <v>1</v>
      </c>
    </row>
    <row r="6">
      <c r="A6" s="13" t="inlineStr">
        <is>
          <t>14646</t>
        </is>
      </c>
      <c r="B6" s="13" t="inlineStr">
        <is>
          <t>2011-11-01</t>
        </is>
      </c>
      <c r="C6" s="13" t="n">
        <v>4</v>
      </c>
      <c r="D6" s="14" t="n">
        <v>5.17037037037037</v>
      </c>
      <c r="E6" s="15" t="n">
        <v>0.7736389684813754</v>
      </c>
      <c r="F6" s="13" t="n">
        <v>136</v>
      </c>
      <c r="G6" s="14" t="n">
        <v>491499.09</v>
      </c>
      <c r="H6" s="14" t="n">
        <v>3613.963897058823</v>
      </c>
      <c r="I6" s="13" t="n">
        <v>907</v>
      </c>
      <c r="J6" s="15" t="n">
        <v>1.495136575865304</v>
      </c>
      <c r="K6" s="16" t="n">
        <v>0.08108108108108109</v>
      </c>
      <c r="L6" s="13" t="inlineStr">
        <is>
          <t>ACTIVE</t>
        </is>
      </c>
      <c r="M6" s="16" t="n">
        <v>0.9760332476187352</v>
      </c>
      <c r="N6" s="13" t="n">
        <v>1</v>
      </c>
    </row>
    <row r="7">
      <c r="A7" s="9" t="inlineStr">
        <is>
          <t>14156</t>
        </is>
      </c>
      <c r="B7" s="9" t="inlineStr">
        <is>
          <t>2011-11-01</t>
        </is>
      </c>
      <c r="C7" s="9" t="n">
        <v>10</v>
      </c>
      <c r="D7" s="10" t="n">
        <v>4.66</v>
      </c>
      <c r="E7" s="11" t="n">
        <v>2.145922746781116</v>
      </c>
      <c r="F7" s="9" t="n">
        <v>151</v>
      </c>
      <c r="G7" s="10" t="n">
        <v>307193.69</v>
      </c>
      <c r="H7" s="10" t="n">
        <v>2034.395298013245</v>
      </c>
      <c r="I7" s="9" t="n">
        <v>1409</v>
      </c>
      <c r="J7" s="11" t="n">
        <v>0.2992128179959764</v>
      </c>
      <c r="K7" s="12" t="n">
        <v>0.2135416666666667</v>
      </c>
      <c r="L7" s="9" t="inlineStr">
        <is>
          <t>ACTIVE</t>
        </is>
      </c>
      <c r="M7" s="12" t="n">
        <v>0.9813060662823156</v>
      </c>
      <c r="N7" s="9" t="n">
        <v>1</v>
      </c>
    </row>
    <row r="8">
      <c r="A8" s="13" t="inlineStr">
        <is>
          <t>14911</t>
        </is>
      </c>
      <c r="B8" s="13" t="inlineStr">
        <is>
          <t>2011-11-01</t>
        </is>
      </c>
      <c r="C8" s="13" t="n">
        <v>0</v>
      </c>
      <c r="D8" s="14" t="n">
        <v>1.974576271186441</v>
      </c>
      <c r="E8" s="15" t="n">
        <v>0</v>
      </c>
      <c r="F8" s="13" t="n">
        <v>355</v>
      </c>
      <c r="G8" s="14" t="n">
        <v>266272.98</v>
      </c>
      <c r="H8" s="14" t="n">
        <v>750.0647323943662</v>
      </c>
      <c r="I8" s="13" t="n">
        <v>2429</v>
      </c>
      <c r="J8" s="15" t="n">
        <v>1.058935991963849</v>
      </c>
      <c r="K8" s="16" t="n">
        <v>0.2282608695652174</v>
      </c>
      <c r="L8" s="13" t="inlineStr">
        <is>
          <t>ACTIVE</t>
        </is>
      </c>
      <c r="M8" s="16" t="n">
        <v>0.984189340004483</v>
      </c>
      <c r="N8" s="13" t="n">
        <v>1</v>
      </c>
    </row>
    <row r="9">
      <c r="A9" s="9" t="inlineStr">
        <is>
          <t>17450</t>
        </is>
      </c>
      <c r="B9" s="9" t="inlineStr">
        <is>
          <t>2011-11-01</t>
        </is>
      </c>
      <c r="C9" s="9" t="n">
        <v>0</v>
      </c>
      <c r="D9" s="10" t="n">
        <v>10.23076923076923</v>
      </c>
      <c r="E9" s="11" t="n">
        <v>0</v>
      </c>
      <c r="F9" s="9" t="n">
        <v>40</v>
      </c>
      <c r="G9" s="10" t="n">
        <v>217541.24</v>
      </c>
      <c r="H9" s="10" t="n">
        <v>5438.531</v>
      </c>
      <c r="I9" s="9" t="n">
        <v>142</v>
      </c>
      <c r="J9" s="11" t="n">
        <v>0.05219231152761659</v>
      </c>
      <c r="K9" s="12" t="n">
        <v>0.1836734693877551</v>
      </c>
      <c r="L9" s="9" t="inlineStr">
        <is>
          <t>ACTIVE</t>
        </is>
      </c>
      <c r="M9" s="12" t="n">
        <v>0.8730702347605465</v>
      </c>
      <c r="N9" s="9" t="n">
        <v>1</v>
      </c>
    </row>
    <row r="10">
      <c r="A10" s="13" t="inlineStr">
        <is>
          <t>13694</t>
        </is>
      </c>
      <c r="B10" s="13" t="inlineStr">
        <is>
          <t>2011-11-01</t>
        </is>
      </c>
      <c r="C10" s="13" t="n">
        <v>3</v>
      </c>
      <c r="D10" s="14" t="n">
        <v>5.08029197080292</v>
      </c>
      <c r="E10" s="15" t="n">
        <v>0.5905172413793104</v>
      </c>
      <c r="F10" s="13" t="n">
        <v>138</v>
      </c>
      <c r="G10" s="14" t="n">
        <v>188512.43</v>
      </c>
      <c r="H10" s="14" t="n">
        <v>1366.032101449275</v>
      </c>
      <c r="I10" s="13" t="n">
        <v>877</v>
      </c>
      <c r="J10" s="15" t="n">
        <v>0.9869573424605818</v>
      </c>
      <c r="K10" s="16" t="n">
        <v>0.1265822784810127</v>
      </c>
      <c r="L10" s="13" t="inlineStr">
        <is>
          <t>ACTIVE</t>
        </is>
      </c>
      <c r="M10" s="16" t="n">
        <v>0.9787828605306644</v>
      </c>
      <c r="N10" s="13" t="n">
        <v>1</v>
      </c>
    </row>
    <row r="11">
      <c r="A11" s="9" t="inlineStr">
        <is>
          <t>17511</t>
        </is>
      </c>
      <c r="B11" s="9" t="inlineStr">
        <is>
          <t>2011-11-01</t>
        </is>
      </c>
      <c r="C11" s="9" t="n">
        <v>5</v>
      </c>
      <c r="D11" s="10" t="n">
        <v>12.92592592592593</v>
      </c>
      <c r="E11" s="11" t="n">
        <v>0.3868194842406877</v>
      </c>
      <c r="F11" s="9" t="n">
        <v>55</v>
      </c>
      <c r="G11" s="10" t="n">
        <v>154702.01</v>
      </c>
      <c r="H11" s="10" t="n">
        <v>2812.763818181818</v>
      </c>
      <c r="I11" s="9" t="n">
        <v>624</v>
      </c>
      <c r="J11" s="11" t="n">
        <v>0.6993324357952446</v>
      </c>
      <c r="K11" s="12" t="n">
        <v>0.2948717948717949</v>
      </c>
      <c r="L11" s="9" t="inlineStr">
        <is>
          <t>ACTIVE</t>
        </is>
      </c>
      <c r="M11" s="12" t="n">
        <v>0.9582596534373639</v>
      </c>
      <c r="N11" s="9" t="n">
        <v>1</v>
      </c>
    </row>
    <row r="12">
      <c r="A12" s="13" t="inlineStr">
        <is>
          <t>12415</t>
        </is>
      </c>
      <c r="B12" s="13" t="inlineStr">
        <is>
          <t>2011-11-01</t>
        </is>
      </c>
      <c r="C12" s="13" t="n">
        <v>26</v>
      </c>
      <c r="D12" s="14" t="n">
        <v>21.21739130434782</v>
      </c>
      <c r="E12" s="15" t="n">
        <v>1.225409836065574</v>
      </c>
      <c r="F12" s="13" t="n">
        <v>24</v>
      </c>
      <c r="G12" s="14" t="n">
        <v>138103.49</v>
      </c>
      <c r="H12" s="14" t="n">
        <v>5754.312083333333</v>
      </c>
      <c r="I12" s="13" t="n">
        <v>487</v>
      </c>
      <c r="J12" s="15" t="n"/>
      <c r="K12" s="16" t="n">
        <v>0.1111111111111111</v>
      </c>
      <c r="L12" s="13" t="inlineStr">
        <is>
          <t>ACTIVE</t>
        </is>
      </c>
      <c r="M12" s="16" t="n">
        <v>0.7110060930667792</v>
      </c>
      <c r="N12" s="13" t="n">
        <v>1</v>
      </c>
    </row>
    <row r="13">
      <c r="A13" s="9" t="inlineStr">
        <is>
          <t>16684</t>
        </is>
      </c>
      <c r="B13" s="9" t="inlineStr">
        <is>
          <t>2011-11-01</t>
        </is>
      </c>
      <c r="C13" s="9" t="n">
        <v>12</v>
      </c>
      <c r="D13" s="10" t="n">
        <v>14.14285714285714</v>
      </c>
      <c r="E13" s="11" t="n">
        <v>0.8484848484848485</v>
      </c>
      <c r="F13" s="9" t="n">
        <v>50</v>
      </c>
      <c r="G13" s="10" t="n">
        <v>133553.61</v>
      </c>
      <c r="H13" s="10" t="n">
        <v>2671.0722</v>
      </c>
      <c r="I13" s="9" t="n">
        <v>178</v>
      </c>
      <c r="J13" s="11" t="n"/>
      <c r="K13" s="12" t="n">
        <v>0.1666666666666667</v>
      </c>
      <c r="L13" s="9" t="inlineStr">
        <is>
          <t>ACTIVE</t>
        </is>
      </c>
      <c r="M13" s="12" t="n">
        <v>0.8310199973671841</v>
      </c>
      <c r="N13" s="9" t="n">
        <v>1</v>
      </c>
    </row>
    <row r="14">
      <c r="A14" s="13" t="inlineStr">
        <is>
          <t>15061</t>
        </is>
      </c>
      <c r="B14" s="13" t="inlineStr">
        <is>
          <t>2011-11-01</t>
        </is>
      </c>
      <c r="C14" s="13" t="n">
        <v>10</v>
      </c>
      <c r="D14" s="14" t="n">
        <v>5.729508196721311</v>
      </c>
      <c r="E14" s="15" t="n">
        <v>1.745350500715308</v>
      </c>
      <c r="F14" s="13" t="n">
        <v>123</v>
      </c>
      <c r="G14" s="14" t="n">
        <v>128133.74</v>
      </c>
      <c r="H14" s="14" t="n">
        <v>1041.737723577236</v>
      </c>
      <c r="I14" s="13" t="n">
        <v>131</v>
      </c>
      <c r="J14" s="15" t="n">
        <v>1.072340937096144</v>
      </c>
      <c r="K14" s="16" t="n">
        <v>0.08208955223880597</v>
      </c>
      <c r="L14" s="13" t="inlineStr">
        <is>
          <t>ACTIVE</t>
        </is>
      </c>
      <c r="M14" s="16" t="n">
        <v>0.9606084317795023</v>
      </c>
      <c r="N14" s="13" t="n">
        <v>1</v>
      </c>
    </row>
    <row r="15">
      <c r="A15" s="9" t="inlineStr">
        <is>
          <t>16029</t>
        </is>
      </c>
      <c r="B15" s="9" t="inlineStr">
        <is>
          <t>2011-11-01</t>
        </is>
      </c>
      <c r="C15" s="9" t="n">
        <v>5</v>
      </c>
      <c r="D15" s="10" t="n">
        <v>6.59047619047619</v>
      </c>
      <c r="E15" s="11" t="n">
        <v>0.758670520231214</v>
      </c>
      <c r="F15" s="9" t="n">
        <v>106</v>
      </c>
      <c r="G15" s="10" t="n">
        <v>121576.84</v>
      </c>
      <c r="H15" s="10" t="n">
        <v>1146.951320754717</v>
      </c>
      <c r="I15" s="9" t="n">
        <v>57</v>
      </c>
      <c r="J15" s="11" t="n">
        <v>7.827517730496454</v>
      </c>
      <c r="K15" s="12" t="n">
        <v>0.1451612903225807</v>
      </c>
      <c r="L15" s="9" t="inlineStr">
        <is>
          <t>ACTIVE</t>
        </is>
      </c>
      <c r="M15" s="12" t="n">
        <v>0.9791241046580254</v>
      </c>
      <c r="N15" s="9" t="n">
        <v>1</v>
      </c>
    </row>
    <row r="16">
      <c r="A16" s="13" t="inlineStr">
        <is>
          <t>17949</t>
        </is>
      </c>
      <c r="B16" s="13" t="inlineStr">
        <is>
          <t>2011-11-01</t>
        </is>
      </c>
      <c r="C16" s="13" t="n">
        <v>3</v>
      </c>
      <c r="D16" s="14" t="n">
        <v>6.288288288288288</v>
      </c>
      <c r="E16" s="15" t="n">
        <v>0.4770773638968482</v>
      </c>
      <c r="F16" s="13" t="n">
        <v>112</v>
      </c>
      <c r="G16" s="14" t="n">
        <v>115033.36</v>
      </c>
      <c r="H16" s="14" t="n">
        <v>1027.083571428572</v>
      </c>
      <c r="I16" s="13" t="n">
        <v>58</v>
      </c>
      <c r="J16" s="15" t="n">
        <v>0.3219223402402925</v>
      </c>
      <c r="K16" s="16" t="n">
        <v>0.1450381679389313</v>
      </c>
      <c r="L16" s="13" t="inlineStr">
        <is>
          <t>ACTIVE</t>
        </is>
      </c>
      <c r="M16" s="16" t="n">
        <v>0.9747732410902298</v>
      </c>
      <c r="N16" s="13" t="n">
        <v>1</v>
      </c>
    </row>
    <row r="17">
      <c r="A17" s="9" t="inlineStr">
        <is>
          <t>15311</t>
        </is>
      </c>
      <c r="B17" s="9" t="inlineStr">
        <is>
          <t>2011-11-01</t>
        </is>
      </c>
      <c r="C17" s="9" t="n">
        <v>3</v>
      </c>
      <c r="D17" s="10" t="n">
        <v>3.603092783505155</v>
      </c>
      <c r="E17" s="11" t="n">
        <v>0.8326180257510729</v>
      </c>
      <c r="F17" s="9" t="n">
        <v>195</v>
      </c>
      <c r="G17" s="10" t="n">
        <v>107815.39</v>
      </c>
      <c r="H17" s="10" t="n">
        <v>552.8994358974359</v>
      </c>
      <c r="I17" s="9" t="n">
        <v>846</v>
      </c>
      <c r="J17" s="11" t="n">
        <v>0.9988750295454342</v>
      </c>
      <c r="K17" s="12" t="n">
        <v>0.2261904761904762</v>
      </c>
      <c r="L17" s="9" t="inlineStr">
        <is>
          <t>ACTIVE</t>
        </is>
      </c>
      <c r="M17" s="12" t="n">
        <v>0.9818949308021399</v>
      </c>
      <c r="N17" s="9" t="n">
        <v>1</v>
      </c>
    </row>
    <row r="18">
      <c r="A18" s="13" t="inlineStr">
        <is>
          <t>13089</t>
        </is>
      </c>
      <c r="B18" s="13" t="inlineStr">
        <is>
          <t>2011-11-01</t>
        </is>
      </c>
      <c r="C18" s="13" t="n">
        <v>1</v>
      </c>
      <c r="D18" s="14" t="n">
        <v>3.654450261780105</v>
      </c>
      <c r="E18" s="15" t="n">
        <v>0.2736389684813754</v>
      </c>
      <c r="F18" s="13" t="n">
        <v>192</v>
      </c>
      <c r="G18" s="14" t="n">
        <v>107594.15</v>
      </c>
      <c r="H18" s="14" t="n">
        <v>560.3861979166667</v>
      </c>
      <c r="I18" s="13" t="n">
        <v>829</v>
      </c>
      <c r="J18" s="15" t="n">
        <v>1.093577631201984</v>
      </c>
      <c r="K18" s="16" t="n">
        <v>0.1864406779661017</v>
      </c>
      <c r="L18" s="13" t="inlineStr">
        <is>
          <t>ACTIVE</t>
        </is>
      </c>
      <c r="M18" s="16" t="n">
        <v>0.9822008033556417</v>
      </c>
      <c r="N18" s="13" t="n">
        <v>1</v>
      </c>
    </row>
    <row r="19">
      <c r="A19" s="9" t="inlineStr">
        <is>
          <t>14298</t>
        </is>
      </c>
      <c r="B19" s="9" t="inlineStr">
        <is>
          <t>2011-11-01</t>
        </is>
      </c>
      <c r="C19" s="9" t="n">
        <v>13</v>
      </c>
      <c r="D19" s="10" t="n">
        <v>8.721518987341772</v>
      </c>
      <c r="E19" s="11" t="n">
        <v>1.490566037735849</v>
      </c>
      <c r="F19" s="9" t="n">
        <v>80</v>
      </c>
      <c r="G19" s="10" t="n">
        <v>89260.33</v>
      </c>
      <c r="H19" s="10" t="n">
        <v>1115.754125</v>
      </c>
      <c r="I19" s="9" t="n">
        <v>1360</v>
      </c>
      <c r="J19" s="11" t="n">
        <v>1.753115435604511</v>
      </c>
      <c r="K19" s="12" t="n">
        <v>0.01234567901234568</v>
      </c>
      <c r="L19" s="9" t="inlineStr">
        <is>
          <t>ACTIVE</t>
        </is>
      </c>
      <c r="M19" s="12" t="n">
        <v>0.9310496076274378</v>
      </c>
      <c r="N19" s="9" t="n">
        <v>1</v>
      </c>
    </row>
    <row r="20">
      <c r="A20" s="13" t="inlineStr">
        <is>
          <t>12931</t>
        </is>
      </c>
      <c r="B20" s="13" t="inlineStr">
        <is>
          <t>2011-11-01</t>
        </is>
      </c>
      <c r="C20" s="13" t="n">
        <v>28</v>
      </c>
      <c r="D20" s="14" t="n">
        <v>13.18867924528302</v>
      </c>
      <c r="E20" s="15" t="n">
        <v>2.123032904148784</v>
      </c>
      <c r="F20" s="13" t="n">
        <v>54</v>
      </c>
      <c r="G20" s="14" t="n">
        <v>84731.44</v>
      </c>
      <c r="H20" s="14" t="n">
        <v>1569.100740740741</v>
      </c>
      <c r="I20" s="13" t="n">
        <v>37</v>
      </c>
      <c r="J20" s="15" t="n"/>
      <c r="K20" s="16" t="n">
        <v>0.1818181818181818</v>
      </c>
      <c r="L20" s="13" t="inlineStr">
        <is>
          <t>ACTIVE</t>
        </is>
      </c>
      <c r="M20" s="16" t="n">
        <v>0.746912120136466</v>
      </c>
      <c r="N20" s="13" t="n">
        <v>1</v>
      </c>
    </row>
    <row r="21">
      <c r="A21" s="9" t="inlineStr">
        <is>
          <t>15769</t>
        </is>
      </c>
      <c r="B21" s="9" t="inlineStr">
        <is>
          <t>2011-11-01</t>
        </is>
      </c>
      <c r="C21" s="9" t="n">
        <v>1</v>
      </c>
      <c r="D21" s="10" t="n">
        <v>16.02325581395349</v>
      </c>
      <c r="E21" s="11" t="n">
        <v>0.06240928882438317</v>
      </c>
      <c r="F21" s="9" t="n">
        <v>44</v>
      </c>
      <c r="G21" s="10" t="n">
        <v>83325.32000000001</v>
      </c>
      <c r="H21" s="10" t="n">
        <v>1893.757272727273</v>
      </c>
      <c r="I21" s="9" t="n">
        <v>26</v>
      </c>
      <c r="J21" s="11" t="n">
        <v>6.190742218675179</v>
      </c>
      <c r="K21" s="12" t="n">
        <v>0.1020408163265306</v>
      </c>
      <c r="L21" s="9" t="inlineStr">
        <is>
          <t>ACTIVE</t>
        </is>
      </c>
      <c r="M21" s="12" t="n">
        <v>0.9226317328927769</v>
      </c>
      <c r="N21" s="9" t="n">
        <v>1</v>
      </c>
    </row>
    <row r="22">
      <c r="A22" s="13" t="inlineStr">
        <is>
          <t>12346</t>
        </is>
      </c>
      <c r="B22" s="13" t="inlineStr">
        <is>
          <t>2011-10-01</t>
        </is>
      </c>
      <c r="C22" s="13" t="n">
        <v>255</v>
      </c>
      <c r="D22" s="14" t="n">
        <v>59.54545454545455</v>
      </c>
      <c r="E22" s="15" t="n">
        <v>4.282442748091603</v>
      </c>
      <c r="F22" s="13" t="n">
        <v>12</v>
      </c>
      <c r="G22" s="14" t="n">
        <v>77556.46000000001</v>
      </c>
      <c r="H22" s="14" t="n">
        <v>6463.038333333334</v>
      </c>
      <c r="I22" s="13" t="n">
        <v>27</v>
      </c>
      <c r="J22" s="15" t="n"/>
      <c r="K22" s="16" t="n">
        <v>0.2941176470588235</v>
      </c>
      <c r="L22" s="13" t="inlineStr">
        <is>
          <t>DORMANT</t>
        </is>
      </c>
      <c r="M22" s="16" t="n">
        <v>0.0523538121275487</v>
      </c>
      <c r="N22" s="13" t="n">
        <v>0</v>
      </c>
    </row>
    <row r="23">
      <c r="A23" s="9" t="inlineStr">
        <is>
          <t>13798</t>
        </is>
      </c>
      <c r="B23" s="9" t="inlineStr">
        <is>
          <t>2011-11-01</t>
        </is>
      </c>
      <c r="C23" s="9" t="n">
        <v>3</v>
      </c>
      <c r="D23" s="10" t="n">
        <v>6.851485148514851</v>
      </c>
      <c r="E23" s="11" t="n">
        <v>0.4378612716763006</v>
      </c>
      <c r="F23" s="9" t="n">
        <v>102</v>
      </c>
      <c r="G23" s="10" t="n">
        <v>71621.74000000001</v>
      </c>
      <c r="H23" s="10" t="n">
        <v>702.1739215686275</v>
      </c>
      <c r="I23" s="9" t="n">
        <v>155</v>
      </c>
      <c r="J23" s="11" t="n">
        <v>1.068765231863998</v>
      </c>
      <c r="K23" s="12" t="n">
        <v>0.1282051282051282</v>
      </c>
      <c r="L23" s="9" t="inlineStr">
        <is>
          <t>ACTIVE</t>
        </is>
      </c>
      <c r="M23" s="12" t="n">
        <v>0.9760337058852114</v>
      </c>
      <c r="N23" s="9" t="n">
        <v>1</v>
      </c>
    </row>
    <row r="24">
      <c r="A24" s="13" t="inlineStr">
        <is>
          <t>15838</t>
        </is>
      </c>
      <c r="B24" s="13" t="inlineStr">
        <is>
          <t>2011-11-01</t>
        </is>
      </c>
      <c r="C24" s="13" t="n">
        <v>25</v>
      </c>
      <c r="D24" s="14" t="n">
        <v>24.46428571428572</v>
      </c>
      <c r="E24" s="15" t="n">
        <v>1.021897810218978</v>
      </c>
      <c r="F24" s="13" t="n">
        <v>29</v>
      </c>
      <c r="G24" s="14" t="n">
        <v>68853.5</v>
      </c>
      <c r="H24" s="14" t="n">
        <v>2374.258620689655</v>
      </c>
      <c r="I24" s="13" t="n">
        <v>58</v>
      </c>
      <c r="J24" s="15" t="n">
        <v>3.449182961419714</v>
      </c>
      <c r="K24" s="16" t="n">
        <v>0.1212121212121212</v>
      </c>
      <c r="L24" s="13" t="inlineStr">
        <is>
          <t>ACTIVE</t>
        </is>
      </c>
      <c r="M24" s="16" t="n">
        <v>0.7758131358974402</v>
      </c>
      <c r="N24" s="13" t="n">
        <v>1</v>
      </c>
    </row>
    <row r="26">
      <c r="A26" s="7" t="inlineStr">
        <is>
          <t>recency_ratio is the feature worth pointing at: days since last order divided by that customer's OWN average gap. Above 1.0 they are overdue by their own standard. Raw recency cannot make that distinction and treats a weekly buyer and a quarterly buyer identically.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7" customWidth="1" min="3" max="3"/>
    <col width="11" customWidth="1" min="4" max="4"/>
    <col width="11" customWidth="1" min="5" max="5"/>
    <col width="14" customWidth="1" min="6" max="6"/>
  </cols>
  <sheetData>
    <row r="1">
      <c r="A1" s="1" t="inlineStr">
        <is>
          <t>Does the model work, and can its numbers be trusted?</t>
        </is>
      </c>
    </row>
    <row r="4">
      <c r="A4" s="17" t="inlineStr">
        <is>
          <t>BASELINES VS MODELS (validation)</t>
        </is>
      </c>
    </row>
    <row r="5">
      <c r="A5" s="8" t="inlineStr">
        <is>
          <t>type</t>
        </is>
      </c>
      <c r="B5" s="8" t="inlineStr">
        <is>
          <t>model</t>
        </is>
      </c>
      <c r="C5" s="8" t="inlineStr">
        <is>
          <t>pr_auc</t>
        </is>
      </c>
    </row>
    <row r="6">
      <c r="A6" s="9" t="inlineStr">
        <is>
          <t>model</t>
        </is>
      </c>
      <c r="B6" s="9" t="inlineStr">
        <is>
          <t>gradient_boosting</t>
        </is>
      </c>
      <c r="C6" s="18" t="n">
        <v>0.5669336352064193</v>
      </c>
    </row>
    <row r="7">
      <c r="A7" s="13" t="inlineStr">
        <is>
          <t>model</t>
        </is>
      </c>
      <c r="B7" s="13" t="inlineStr">
        <is>
          <t>logistic_regression</t>
        </is>
      </c>
      <c r="C7" s="19" t="n">
        <v>0.5429008044114737</v>
      </c>
    </row>
    <row r="8">
      <c r="A8" s="9" t="inlineStr">
        <is>
          <t>simple rule</t>
        </is>
      </c>
      <c r="B8" s="9" t="inlineStr">
        <is>
          <t>rfm_score</t>
        </is>
      </c>
      <c r="C8" s="18" t="n">
        <v>0.5187797887755458</v>
      </c>
    </row>
    <row r="9">
      <c r="A9" s="13" t="inlineStr">
        <is>
          <t>simple rule</t>
        </is>
      </c>
      <c r="B9" s="13" t="inlineStr">
        <is>
          <t>frequency_only</t>
        </is>
      </c>
      <c r="C9" s="19" t="n">
        <v>0.4889890626669044</v>
      </c>
    </row>
    <row r="10">
      <c r="A10" s="9" t="inlineStr">
        <is>
          <t>simple rule</t>
        </is>
      </c>
      <c r="B10" s="9" t="inlineStr">
        <is>
          <t>recency_only</t>
        </is>
      </c>
      <c r="C10" s="18" t="n">
        <v>0.3851331455852078</v>
      </c>
    </row>
    <row r="12">
      <c r="A12" s="17" t="inlineStr">
        <is>
          <t>TEST PERFORMANCE</t>
        </is>
      </c>
    </row>
    <row r="13">
      <c r="A13" s="8" t="inlineStr">
        <is>
          <t>metric</t>
        </is>
      </c>
      <c r="B13" s="8" t="inlineStr">
        <is>
          <t>value</t>
        </is>
      </c>
    </row>
    <row r="14">
      <c r="A14" s="9" t="inlineStr">
        <is>
          <t>base_rate</t>
        </is>
      </c>
      <c r="B14" s="18" t="n">
        <v>0.2327656123276561</v>
      </c>
    </row>
    <row r="15">
      <c r="A15" s="13" t="inlineStr">
        <is>
          <t>roc_auc</t>
        </is>
      </c>
      <c r="B15" s="19" t="n">
        <v>0.7827617348793374</v>
      </c>
    </row>
    <row r="16">
      <c r="A16" s="9" t="inlineStr">
        <is>
          <t>pr_auc</t>
        </is>
      </c>
      <c r="B16" s="18" t="n">
        <v>0.5712828062451991</v>
      </c>
    </row>
    <row r="17">
      <c r="A17" s="13" t="inlineStr">
        <is>
          <t>brier_score</t>
        </is>
      </c>
      <c r="B17" s="19" t="n">
        <v>0.1435406194196586</v>
      </c>
    </row>
    <row r="18">
      <c r="A18" s="9" t="inlineStr">
        <is>
          <t>log_loss</t>
        </is>
      </c>
      <c r="B18" s="18" t="n">
        <v>0.4523831104571948</v>
      </c>
    </row>
    <row r="19">
      <c r="A19" s="13" t="inlineStr">
        <is>
          <t>mean_predicted</t>
        </is>
      </c>
      <c r="B19" s="19" t="n">
        <v>0.1809162782599954</v>
      </c>
    </row>
    <row r="20">
      <c r="A20" s="9" t="inlineStr">
        <is>
          <t>calibration_gap</t>
        </is>
      </c>
      <c r="B20" s="18" t="n">
        <v>-0.05184933406766071</v>
      </c>
    </row>
    <row r="22">
      <c r="A22" s="17" t="inlineStr">
        <is>
          <t>CALIBRATION BY DECILE</t>
        </is>
      </c>
    </row>
    <row r="23">
      <c r="A23" s="8" t="inlineStr">
        <is>
          <t>bin</t>
        </is>
      </c>
      <c r="B23" s="8" t="inlineStr">
        <is>
          <t>customers</t>
        </is>
      </c>
      <c r="C23" s="8" t="inlineStr">
        <is>
          <t>mean_predicted</t>
        </is>
      </c>
      <c r="D23" s="8" t="inlineStr">
        <is>
          <t>observed_rate</t>
        </is>
      </c>
      <c r="E23" s="8" t="inlineStr">
        <is>
          <t>gap</t>
        </is>
      </c>
    </row>
    <row r="24">
      <c r="A24" s="9" t="n">
        <v>0</v>
      </c>
      <c r="B24" s="9" t="n">
        <v>1110</v>
      </c>
      <c r="C24" s="12" t="n">
        <v>0.0157</v>
      </c>
      <c r="D24" s="12" t="n">
        <v>0.0306</v>
      </c>
      <c r="E24" s="12" t="n">
        <v>-0.015</v>
      </c>
    </row>
    <row r="25">
      <c r="A25" s="13" t="n">
        <v>1</v>
      </c>
      <c r="B25" s="13" t="n">
        <v>1110</v>
      </c>
      <c r="C25" s="16" t="n">
        <v>0.0345</v>
      </c>
      <c r="D25" s="16" t="n">
        <v>0.0577</v>
      </c>
      <c r="E25" s="16" t="n">
        <v>-0.0231</v>
      </c>
    </row>
    <row r="26">
      <c r="A26" s="9" t="n">
        <v>2</v>
      </c>
      <c r="B26" s="9" t="n">
        <v>1109</v>
      </c>
      <c r="C26" s="12" t="n">
        <v>0.055</v>
      </c>
      <c r="D26" s="12" t="n">
        <v>0.1019</v>
      </c>
      <c r="E26" s="12" t="n">
        <v>-0.0469</v>
      </c>
    </row>
    <row r="27">
      <c r="A27" s="13" t="n">
        <v>3</v>
      </c>
      <c r="B27" s="13" t="n">
        <v>1110</v>
      </c>
      <c r="C27" s="16" t="n">
        <v>0.0711</v>
      </c>
      <c r="D27" s="16" t="n">
        <v>0.1342</v>
      </c>
      <c r="E27" s="16" t="n">
        <v>-0.0631</v>
      </c>
    </row>
    <row r="28">
      <c r="A28" s="9" t="n">
        <v>4</v>
      </c>
      <c r="B28" s="9" t="n">
        <v>1110</v>
      </c>
      <c r="C28" s="12" t="n">
        <v>0.09370000000000001</v>
      </c>
      <c r="D28" s="12" t="n">
        <v>0.1351</v>
      </c>
      <c r="E28" s="12" t="n">
        <v>-0.0415</v>
      </c>
    </row>
    <row r="29">
      <c r="A29" s="13" t="n">
        <v>5</v>
      </c>
      <c r="B29" s="13" t="n">
        <v>1109</v>
      </c>
      <c r="C29" s="16" t="n">
        <v>0.129</v>
      </c>
      <c r="D29" s="16" t="n">
        <v>0.1885</v>
      </c>
      <c r="E29" s="16" t="n">
        <v>-0.0594</v>
      </c>
    </row>
    <row r="30">
      <c r="A30" s="9" t="n">
        <v>6</v>
      </c>
      <c r="B30" s="9" t="n">
        <v>1110</v>
      </c>
      <c r="C30" s="12" t="n">
        <v>0.1749</v>
      </c>
      <c r="D30" s="12" t="n">
        <v>0.2514</v>
      </c>
      <c r="E30" s="12" t="n">
        <v>-0.0765</v>
      </c>
    </row>
    <row r="31">
      <c r="A31" s="13" t="n">
        <v>7</v>
      </c>
      <c r="B31" s="13" t="n">
        <v>1109</v>
      </c>
      <c r="C31" s="16" t="n">
        <v>0.2292</v>
      </c>
      <c r="D31" s="16" t="n">
        <v>0.3165</v>
      </c>
      <c r="E31" s="16" t="n">
        <v>-0.0873</v>
      </c>
    </row>
    <row r="32">
      <c r="A32" s="9" t="n">
        <v>8</v>
      </c>
      <c r="B32" s="9" t="n">
        <v>1110</v>
      </c>
      <c r="C32" s="12" t="n">
        <v>0.3424</v>
      </c>
      <c r="D32" s="12" t="n">
        <v>0.4135</v>
      </c>
      <c r="E32" s="12" t="n">
        <v>-0.0712</v>
      </c>
    </row>
    <row r="33">
      <c r="A33" s="13" t="n">
        <v>9</v>
      </c>
      <c r="B33" s="13" t="n">
        <v>1110</v>
      </c>
      <c r="C33" s="16" t="n">
        <v>0.6636</v>
      </c>
      <c r="D33" s="16" t="n">
        <v>0.6982</v>
      </c>
      <c r="E33" s="16" t="n">
        <v>-0.0346</v>
      </c>
    </row>
    <row r="35">
      <c r="A35" s="17" t="inlineStr">
        <is>
          <t>STABILITY BY TEST PERIOD</t>
        </is>
      </c>
    </row>
    <row r="36">
      <c r="A36" s="8" t="inlineStr">
        <is>
          <t>snapshot_date</t>
        </is>
      </c>
      <c r="B36" s="8" t="inlineStr">
        <is>
          <t>customers</t>
        </is>
      </c>
      <c r="C36" s="8" t="inlineStr">
        <is>
          <t>base_rate</t>
        </is>
      </c>
      <c r="D36" s="8" t="inlineStr">
        <is>
          <t>roc_auc</t>
        </is>
      </c>
      <c r="E36" s="8" t="inlineStr">
        <is>
          <t>pr_auc</t>
        </is>
      </c>
      <c r="F36" s="8" t="inlineStr">
        <is>
          <t>brier_score</t>
        </is>
      </c>
    </row>
    <row r="37">
      <c r="A37" s="9" t="inlineStr">
        <is>
          <t>2011-10-01</t>
        </is>
      </c>
      <c r="B37" s="9" t="n">
        <v>5438</v>
      </c>
      <c r="C37" s="9" t="n">
        <v>0.2041</v>
      </c>
      <c r="D37" s="9" t="n">
        <v>0.7744</v>
      </c>
      <c r="E37" s="9" t="n">
        <v>0.5189</v>
      </c>
      <c r="F37" s="9" t="n">
        <v>0.1328</v>
      </c>
    </row>
    <row r="38">
      <c r="A38" s="13" t="inlineStr">
        <is>
          <t>2011-11-01</t>
        </is>
      </c>
      <c r="B38" s="13" t="n">
        <v>5659</v>
      </c>
      <c r="C38" s="13" t="n">
        <v>0.2603</v>
      </c>
      <c r="D38" s="13" t="n">
        <v>0.7914</v>
      </c>
      <c r="E38" s="13" t="n">
        <v>0.6221</v>
      </c>
      <c r="F38" s="13" t="n">
        <v>0.1539</v>
      </c>
    </row>
    <row r="40">
      <c r="A40" s="17" t="inlineStr">
        <is>
          <t>TOP FEATURES</t>
        </is>
      </c>
    </row>
    <row r="41">
      <c r="A41" s="8" t="inlineStr">
        <is>
          <t>feature</t>
        </is>
      </c>
      <c r="B41" s="8" t="inlineStr">
        <is>
          <t>importance_mean</t>
        </is>
      </c>
      <c r="C41" s="8" t="inlineStr">
        <is>
          <t>importance_std</t>
        </is>
      </c>
    </row>
    <row r="42">
      <c r="A42" s="9" t="inlineStr">
        <is>
          <t>interpurchase_mean_days</t>
        </is>
      </c>
      <c r="B42" s="9" t="n">
        <v>0.09303</v>
      </c>
      <c r="C42" s="9" t="n">
        <v>0.00317</v>
      </c>
    </row>
    <row r="43">
      <c r="A43" s="13" t="inlineStr">
        <is>
          <t>recency_days</t>
        </is>
      </c>
      <c r="B43" s="13" t="n">
        <v>0.05817</v>
      </c>
      <c r="C43" s="13" t="n">
        <v>0.00186</v>
      </c>
    </row>
    <row r="44">
      <c r="A44" s="9" t="inlineStr">
        <is>
          <t>orders_per_month</t>
        </is>
      </c>
      <c r="B44" s="9" t="n">
        <v>0.01262</v>
      </c>
      <c r="C44" s="9" t="n">
        <v>0.00135</v>
      </c>
    </row>
    <row r="45">
      <c r="A45" s="13" t="inlineStr">
        <is>
          <t>recency_ratio</t>
        </is>
      </c>
      <c r="B45" s="13" t="n">
        <v>0.01002</v>
      </c>
      <c r="C45" s="13" t="n">
        <v>0.00129</v>
      </c>
    </row>
    <row r="46">
      <c r="A46" s="9" t="inlineStr">
        <is>
          <t>products</t>
        </is>
      </c>
      <c r="B46" s="9" t="n">
        <v>0.00651</v>
      </c>
      <c r="C46" s="9" t="n">
        <v>0.00105</v>
      </c>
    </row>
    <row r="47">
      <c r="A47" s="13" t="inlineStr">
        <is>
          <t>country</t>
        </is>
      </c>
      <c r="B47" s="13" t="n">
        <v>0.00281</v>
      </c>
      <c r="C47" s="13" t="n">
        <v>0.00058</v>
      </c>
    </row>
    <row r="48">
      <c r="A48" s="9" t="inlineStr">
        <is>
          <t>monetary</t>
        </is>
      </c>
      <c r="B48" s="9" t="n">
        <v>0.00273</v>
      </c>
      <c r="C48" s="9" t="n">
        <v>0.00055</v>
      </c>
    </row>
    <row r="49">
      <c r="A49" s="13" t="inlineStr">
        <is>
          <t>total_items</t>
        </is>
      </c>
      <c r="B49" s="13" t="n">
        <v>0.00261</v>
      </c>
      <c r="C49" s="13" t="n">
        <v>0.00011</v>
      </c>
    </row>
    <row r="50">
      <c r="A50" s="9" t="inlineStr">
        <is>
          <t>revenue_trend</t>
        </is>
      </c>
      <c r="B50" s="9" t="n">
        <v>0.00213</v>
      </c>
      <c r="C50" s="9" t="n">
        <v>0.00074</v>
      </c>
    </row>
    <row r="51">
      <c r="A51" s="13" t="inlineStr">
        <is>
          <t>return_orders</t>
        </is>
      </c>
      <c r="B51" s="13" t="n">
        <v>0.00178</v>
      </c>
      <c r="C51" s="13" t="n">
        <v>0.0014</v>
      </c>
    </row>
    <row r="53">
      <c r="A53" s="7" t="inlineStr">
        <is>
          <t>class_weight='balanced' predicts 37.9% average probability against an observed 18.2%. Unweighted predicts 18.8%. Ranking is barely affected either way — but the decision layer multiplies probability by order value, so an inflated probability produces an inflated business case.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3" customWidth="1" min="3" max="3"/>
    <col width="22" customWidth="1" min="4" max="4"/>
    <col width="22" customWidth="1" min="5" max="5"/>
    <col width="22" customWidth="1" min="6" max="6"/>
    <col width="23" customWidth="1" min="7" max="7"/>
    <col width="21" customWidth="1" min="8" max="8"/>
    <col width="21" customWidth="1" min="9" max="9"/>
    <col width="22" customWidth="1" min="10" max="10"/>
    <col width="70" customWidth="1" min="11" max="11"/>
  </cols>
  <sheetData>
    <row r="1">
      <c r="A1" s="1" t="inlineStr">
        <is>
          <t>The segmentation</t>
        </is>
      </c>
    </row>
    <row r="2">
      <c r="A2" s="2" t="inlineStr">
        <is>
          <t>State is a description of the situation, not an instruction. Actions come next.</t>
        </is>
      </c>
    </row>
    <row r="4">
      <c r="A4" s="8" t="inlineStr">
        <is>
          <t>customer_state</t>
        </is>
      </c>
      <c r="B4" s="8" t="inlineStr">
        <is>
          <t>customers</t>
        </is>
      </c>
      <c r="C4" s="8" t="inlineStr">
        <is>
          <t>share</t>
        </is>
      </c>
      <c r="D4" s="8" t="inlineStr">
        <is>
          <t>mean_probability</t>
        </is>
      </c>
      <c r="E4" s="8" t="inlineStr">
        <is>
          <t>actual_repeat_rate</t>
        </is>
      </c>
      <c r="F4" s="8" t="inlineStr">
        <is>
          <t>median_recency_days</t>
        </is>
      </c>
      <c r="G4" s="8" t="inlineStr">
        <is>
          <t>median_recency_ratio</t>
        </is>
      </c>
      <c r="H4" s="8" t="inlineStr">
        <is>
          <t>median_monetary</t>
        </is>
      </c>
      <c r="I4" s="8" t="inlineStr">
        <is>
          <t>median_aov</t>
        </is>
      </c>
      <c r="J4" s="8" t="inlineStr">
        <is>
          <t>median_return_rate</t>
        </is>
      </c>
      <c r="K4" s="8" t="inlineStr">
        <is>
          <t>definition</t>
        </is>
      </c>
    </row>
    <row r="5">
      <c r="A5" s="9" t="inlineStr">
        <is>
          <t>NEW_UNPROVEN</t>
        </is>
      </c>
      <c r="B5" s="9" t="n">
        <v>3258</v>
      </c>
      <c r="C5" s="12" t="n">
        <v>0.2935928629359286</v>
      </c>
      <c r="D5" s="12" t="n">
        <v>0.06923597108355885</v>
      </c>
      <c r="E5" s="12" t="n">
        <v>0.09944751381215469</v>
      </c>
      <c r="F5" s="9" t="n">
        <v>342</v>
      </c>
      <c r="G5" s="11" t="n"/>
      <c r="H5" s="10" t="n">
        <v>239</v>
      </c>
      <c r="I5" s="10" t="n">
        <v>239</v>
      </c>
      <c r="J5" s="12" t="n">
        <v>0</v>
      </c>
      <c r="K5" s="9" t="inlineStr">
        <is>
          <t>Exactly one order. Not churned — unmeasured. No rhythm to compare against.</t>
        </is>
      </c>
    </row>
    <row r="6">
      <c r="A6" s="13" t="inlineStr">
        <is>
          <t>ACTIVE_STANDARD</t>
        </is>
      </c>
      <c r="B6" s="13" t="n">
        <v>3001</v>
      </c>
      <c r="C6" s="16" t="n">
        <v>0.2704334504821123</v>
      </c>
      <c r="D6" s="16" t="n">
        <v>0.1438086762820583</v>
      </c>
      <c r="E6" s="16" t="n">
        <v>0.2075974675108297</v>
      </c>
      <c r="F6" s="13" t="n">
        <v>101</v>
      </c>
      <c r="G6" s="15" t="n">
        <v>0.5386221294363257</v>
      </c>
      <c r="H6" s="14" t="n">
        <v>671.01</v>
      </c>
      <c r="I6" s="14" t="n">
        <v>230.7971428571429</v>
      </c>
      <c r="J6" s="16" t="n">
        <v>0</v>
      </c>
      <c r="K6" s="13" t="inlineStr">
        <is>
          <t>Buying on their own normal rhythm, everyone else.</t>
        </is>
      </c>
    </row>
    <row r="7">
      <c r="A7" s="9" t="inlineStr">
        <is>
          <t>ACTIVE_VALUABLE</t>
        </is>
      </c>
      <c r="B7" s="9" t="n">
        <v>2043</v>
      </c>
      <c r="C7" s="12" t="n">
        <v>0.1841038118410381</v>
      </c>
      <c r="D7" s="12" t="n">
        <v>0.4090811414780801</v>
      </c>
      <c r="E7" s="12" t="n">
        <v>0.4625550660792951</v>
      </c>
      <c r="F7" s="9" t="n">
        <v>20</v>
      </c>
      <c r="G7" s="11" t="n">
        <v>0.3813229571984436</v>
      </c>
      <c r="H7" s="10" t="n">
        <v>3823.3</v>
      </c>
      <c r="I7" s="10" t="n">
        <v>415.69</v>
      </c>
      <c r="J7" s="12" t="n">
        <v>0.1428571428571428</v>
      </c>
      <c r="K7" s="9" t="inlineStr">
        <is>
          <t>Buying on their own normal rhythm, top 30% by historic spend.</t>
        </is>
      </c>
    </row>
    <row r="8">
      <c r="A8" s="13" t="inlineStr">
        <is>
          <t>DORMANT</t>
        </is>
      </c>
      <c r="B8" s="13" t="n">
        <v>862</v>
      </c>
      <c r="C8" s="16" t="n">
        <v>0.07767865188789763</v>
      </c>
      <c r="D8" s="16" t="n">
        <v>0.07449277194699173</v>
      </c>
      <c r="E8" s="16" t="n">
        <v>0.1357308584686775</v>
      </c>
      <c r="F8" s="13" t="n">
        <v>334</v>
      </c>
      <c r="G8" s="15" t="n">
        <v>1.726493654272617</v>
      </c>
      <c r="H8" s="14" t="n">
        <v>906.3600000000001</v>
      </c>
      <c r="I8" s="14" t="n">
        <v>212.56</v>
      </c>
      <c r="J8" s="16" t="n">
        <v>0</v>
      </c>
      <c r="K8" s="13" t="inlineStr">
        <is>
          <t>Over 180 days silent and below the value threshold. Cheap presence only.</t>
        </is>
      </c>
    </row>
    <row r="9">
      <c r="A9" s="9" t="inlineStr">
        <is>
          <t>SERVICE_RISK</t>
        </is>
      </c>
      <c r="B9" s="9" t="n">
        <v>701</v>
      </c>
      <c r="C9" s="12" t="n">
        <v>0.06317022618725782</v>
      </c>
      <c r="D9" s="12" t="n">
        <v>0.1737786035343135</v>
      </c>
      <c r="E9" s="12" t="n">
        <v>0.2182596291012839</v>
      </c>
      <c r="F9" s="9" t="n">
        <v>141</v>
      </c>
      <c r="G9" s="11" t="n">
        <v>0.7583212735166426</v>
      </c>
      <c r="H9" s="10" t="n">
        <v>1404.68</v>
      </c>
      <c r="I9" s="10" t="n">
        <v>375.9963636363636</v>
      </c>
      <c r="J9" s="12" t="n">
        <v>0.5</v>
      </c>
      <c r="K9" s="9" t="inlineStr">
        <is>
          <t>Return rate 40%+ with 2+ return events. Outranks every marketing state.</t>
        </is>
      </c>
    </row>
    <row r="10">
      <c r="A10" s="13" t="inlineStr">
        <is>
          <t>LAPSING_VALUABLE</t>
        </is>
      </c>
      <c r="B10" s="13" t="n">
        <v>673</v>
      </c>
      <c r="C10" s="16" t="n">
        <v>0.06064702171758133</v>
      </c>
      <c r="D10" s="16" t="n">
        <v>0.1874838658641668</v>
      </c>
      <c r="E10" s="16" t="n">
        <v>0.2615156017830609</v>
      </c>
      <c r="F10" s="13" t="n">
        <v>209</v>
      </c>
      <c r="G10" s="15" t="n">
        <v>2.504317789291882</v>
      </c>
      <c r="H10" s="14" t="n">
        <v>3175.95</v>
      </c>
      <c r="I10" s="14" t="n">
        <v>408.8981818181819</v>
      </c>
      <c r="J10" s="16" t="n">
        <v>0.1538461538461539</v>
      </c>
      <c r="K10" s="13" t="inlineStr">
        <is>
          <t>Beyond 2.5x their gap, high value. The segment worth real money.</t>
        </is>
      </c>
    </row>
    <row r="11">
      <c r="A11" s="9" t="inlineStr">
        <is>
          <t>COOLING_VALUABLE</t>
        </is>
      </c>
      <c r="B11" s="9" t="n">
        <v>278</v>
      </c>
      <c r="C11" s="12" t="n">
        <v>0.02505181580607371</v>
      </c>
      <c r="D11" s="12" t="n">
        <v>0.5198039115395859</v>
      </c>
      <c r="E11" s="12" t="n">
        <v>0.6187050359712231</v>
      </c>
      <c r="F11" s="9" t="n">
        <v>57</v>
      </c>
      <c r="G11" s="11" t="n">
        <v>1.347718854259009</v>
      </c>
      <c r="H11" s="10" t="n">
        <v>5191</v>
      </c>
      <c r="I11" s="10" t="n">
        <v>357.5001612903226</v>
      </c>
      <c r="J11" s="12" t="n">
        <v>0.1578947368421053</v>
      </c>
      <c r="K11" s="9" t="inlineStr">
        <is>
          <t>1-2.5x their own average gap, high value. Slowing, not stopped.</t>
        </is>
      </c>
    </row>
    <row r="12">
      <c r="A12" s="13" t="inlineStr">
        <is>
          <t>LAPSING_STANDARD</t>
        </is>
      </c>
      <c r="B12" s="13" t="n">
        <v>236</v>
      </c>
      <c r="C12" s="16" t="n">
        <v>0.02126700910155898</v>
      </c>
      <c r="D12" s="16" t="n">
        <v>0.1877397112697025</v>
      </c>
      <c r="E12" s="16" t="n">
        <v>0.2584745762711864</v>
      </c>
      <c r="F12" s="13" t="n">
        <v>140</v>
      </c>
      <c r="G12" s="15" t="n">
        <v>1.359115502960571</v>
      </c>
      <c r="H12" s="14" t="n">
        <v>1114.39</v>
      </c>
      <c r="I12" s="14" t="n">
        <v>187.4814285714286</v>
      </c>
      <c r="J12" s="16" t="n">
        <v>0.09090909090909091</v>
      </c>
      <c r="K12" s="13" t="inlineStr">
        <is>
          <t>Beyond 2.5x their gap, standard value.</t>
        </is>
      </c>
    </row>
    <row r="13">
      <c r="A13" s="9" t="inlineStr">
        <is>
          <t>COOLING_STANDARD</t>
        </is>
      </c>
      <c r="B13" s="9" t="n">
        <v>45</v>
      </c>
      <c r="C13" s="12" t="n">
        <v>0.0040551500405515</v>
      </c>
      <c r="D13" s="12" t="n">
        <v>0.304761444636898</v>
      </c>
      <c r="E13" s="12" t="n">
        <v>0.2666666666666667</v>
      </c>
      <c r="F13" s="9" t="n">
        <v>77</v>
      </c>
      <c r="G13" s="11" t="n">
        <v>1.197368421052632</v>
      </c>
      <c r="H13" s="10" t="n">
        <v>912.2500000000001</v>
      </c>
      <c r="I13" s="10" t="n">
        <v>167.16</v>
      </c>
      <c r="J13" s="12" t="n">
        <v>0</v>
      </c>
      <c r="K13" s="9" t="inlineStr">
        <is>
          <t>1-2.5x their own average gap, standard value.</t>
        </is>
      </c>
    </row>
    <row r="15">
      <c r="A15" s="7" t="inlineStr">
        <is>
          <t>Compare mean_probability against actual_repeat_rate column by column. Close agreement inside every state is the calibration claim holding up where it matters — at segment level, which is the level campaigns are planned at.</t>
        </is>
      </c>
    </row>
    <row r="17">
      <c r="A17" s="7" t="inlineStr">
        <is>
          <t>LAPSING_VALUABLE is the segment that justifies the whole exercise: a low score and a high historic value. A pure prediction model ranks them alongside a low-value customer with the same score. They are not the same customer and should not get the same treatment.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23" customWidth="1" min="3" max="3"/>
    <col width="15" customWidth="1" min="4" max="4"/>
    <col width="17" customWidth="1" min="5" max="5"/>
    <col width="17" customWidth="1" min="6" max="6"/>
    <col width="55" customWidth="1" min="7" max="7"/>
    <col width="60" customWidth="1" min="8" max="8"/>
  </cols>
  <sheetData>
    <row r="1">
      <c r="A1" s="1" t="inlineStr">
        <is>
          <t>Every action, priced by what it costs</t>
        </is>
      </c>
    </row>
    <row r="2">
      <c r="A2" s="2" t="inlineStr">
        <is>
          <t>Described by cost and mechanism rather than by name — which is what makes them comparable.</t>
        </is>
      </c>
    </row>
    <row r="4">
      <c r="A4" s="8" t="inlineStr">
        <is>
          <t>action</t>
        </is>
      </c>
      <c r="B4" s="8" t="inlineStr">
        <is>
          <t>label</t>
        </is>
      </c>
      <c r="C4" s="8" t="inlineStr">
        <is>
          <t>channel</t>
        </is>
      </c>
      <c r="D4" s="8" t="inlineStr">
        <is>
          <t>contact_cost</t>
        </is>
      </c>
      <c r="E4" s="8" t="inlineStr">
        <is>
          <t>incentive_rate</t>
        </is>
      </c>
      <c r="F4" s="8" t="inlineStr">
        <is>
          <t>assumed_uplift</t>
        </is>
      </c>
      <c r="G4" s="8" t="inlineStr">
        <is>
          <t>eligible_states</t>
        </is>
      </c>
      <c r="H4" s="8" t="inlineStr">
        <is>
          <t>objective</t>
        </is>
      </c>
    </row>
    <row r="5">
      <c r="A5" s="9" t="inlineStr">
        <is>
          <t>NO_ACTION</t>
        </is>
      </c>
      <c r="B5" s="9" t="inlineStr">
        <is>
          <t>No action</t>
        </is>
      </c>
      <c r="C5" s="9" t="inlineStr">
        <is>
          <t>none</t>
        </is>
      </c>
      <c r="D5" s="20" t="n">
        <v>0</v>
      </c>
      <c r="E5" s="12" t="n">
        <v>0</v>
      </c>
      <c r="F5" s="21" t="n">
        <v>0</v>
      </c>
      <c r="G5" s="9" t="inlineStr">
        <is>
          <t>any</t>
        </is>
      </c>
      <c r="H5" s="9" t="inlineStr">
        <is>
          <t>Spend nothing. Let organic demand happen.</t>
        </is>
      </c>
    </row>
    <row r="6">
      <c r="A6" s="13" t="inlineStr">
        <is>
          <t>OWNED_RECOMMENDATION</t>
        </is>
      </c>
      <c r="B6" s="13" t="inlineStr">
        <is>
          <t>Owned recommendation</t>
        </is>
      </c>
      <c r="C6" s="13" t="inlineStr">
        <is>
          <t>email/app</t>
        </is>
      </c>
      <c r="D6" s="22" t="n">
        <v>0.02</v>
      </c>
      <c r="E6" s="16" t="n">
        <v>0</v>
      </c>
      <c r="F6" s="21" t="n">
        <v>0.01</v>
      </c>
      <c r="G6" s="13" t="inlineStr">
        <is>
          <t>ACTIVE_VALUABLE, ACTIVE_STANDARD, COOLING_STANDARD</t>
        </is>
      </c>
      <c r="H6" s="13" t="inlineStr">
        <is>
          <t>Expand basket and category without buying demand.</t>
        </is>
      </c>
    </row>
    <row r="7">
      <c r="A7" s="9" t="inlineStr">
        <is>
          <t>LOYALTY_CROSS_SELL</t>
        </is>
      </c>
      <c r="B7" s="9" t="inlineStr">
        <is>
          <t>Loyalty / early access</t>
        </is>
      </c>
      <c r="C7" s="9" t="inlineStr">
        <is>
          <t>email + curation</t>
        </is>
      </c>
      <c r="D7" s="20" t="n">
        <v>0.12</v>
      </c>
      <c r="E7" s="12" t="n">
        <v>0</v>
      </c>
      <c r="F7" s="21" t="n">
        <v>0.02</v>
      </c>
      <c r="G7" s="9" t="inlineStr">
        <is>
          <t>ACTIVE_VALUABLE</t>
        </is>
      </c>
      <c r="H7" s="9" t="inlineStr">
        <is>
          <t>Raise basket value on customers already likely to buy.</t>
        </is>
      </c>
    </row>
    <row r="8">
      <c r="A8" s="13" t="inlineStr">
        <is>
          <t>SECOND_PURCHASE_JOURNEY</t>
        </is>
      </c>
      <c r="B8" s="13" t="inlineStr">
        <is>
          <t>Second-purchase journey</t>
        </is>
      </c>
      <c r="C8" s="13" t="inlineStr">
        <is>
          <t>email sequence</t>
        </is>
      </c>
      <c r="D8" s="22" t="n">
        <v>0.1</v>
      </c>
      <c r="E8" s="16" t="n">
        <v>0.05</v>
      </c>
      <c r="F8" s="21" t="n">
        <v>0.03</v>
      </c>
      <c r="G8" s="13" t="inlineStr">
        <is>
          <t>NEW_UNPROVEN</t>
        </is>
      </c>
      <c r="H8" s="13" t="inlineStr">
        <is>
          <t>Convert a first order into a habit, not a one-off.</t>
        </is>
      </c>
    </row>
    <row r="9">
      <c r="A9" s="9" t="inlineStr">
        <is>
          <t>REACTIVATION_SEQUENCE</t>
        </is>
      </c>
      <c r="B9" s="9" t="inlineStr">
        <is>
          <t>Reactivation sequence</t>
        </is>
      </c>
      <c r="C9" s="9" t="inlineStr">
        <is>
          <t>email sequence</t>
        </is>
      </c>
      <c r="D9" s="20" t="n">
        <v>0.15</v>
      </c>
      <c r="E9" s="12" t="n">
        <v>0</v>
      </c>
      <c r="F9" s="21" t="n">
        <v>0.025</v>
      </c>
      <c r="G9" s="9" t="inlineStr">
        <is>
          <t>COOLING_VALUABLE, COOLING_STANDARD</t>
        </is>
      </c>
      <c r="H9" s="9" t="inlineStr">
        <is>
          <t>Re-engage before cooling becomes dormancy. No discount yet.</t>
        </is>
      </c>
    </row>
    <row r="10">
      <c r="A10" s="13" t="inlineStr">
        <is>
          <t>TARGETED_INCENTIVE</t>
        </is>
      </c>
      <c r="B10" s="13" t="inlineStr">
        <is>
          <t>Targeted incentive</t>
        </is>
      </c>
      <c r="C10" s="13" t="inlineStr">
        <is>
          <t>email + offer</t>
        </is>
      </c>
      <c r="D10" s="22" t="n">
        <v>0.15</v>
      </c>
      <c r="E10" s="16" t="n">
        <v>0.15</v>
      </c>
      <c r="F10" s="21" t="n">
        <v>0.045</v>
      </c>
      <c r="G10" s="13" t="inlineStr">
        <is>
          <t>COOLING_VALUABLE, LAPSING_STANDARD, LAPSING_VALUABLE</t>
        </is>
      </c>
      <c r="H10" s="13" t="inlineStr">
        <is>
          <t>Buy back demand where owned channels have failed.</t>
        </is>
      </c>
    </row>
    <row r="11">
      <c r="A11" s="9" t="inlineStr">
        <is>
          <t>HIGH_VALUE_WINBACK</t>
        </is>
      </c>
      <c r="B11" s="9" t="inlineStr">
        <is>
          <t>High-value win-back</t>
        </is>
      </c>
      <c r="C11" s="9" t="inlineStr">
        <is>
          <t>paid + human + offer</t>
        </is>
      </c>
      <c r="D11" s="20" t="n">
        <v>1.5</v>
      </c>
      <c r="E11" s="12" t="n">
        <v>0.2</v>
      </c>
      <c r="F11" s="21" t="n">
        <v>0.07000000000000001</v>
      </c>
      <c r="G11" s="9" t="inlineStr">
        <is>
          <t>LAPSING_VALUABLE</t>
        </is>
      </c>
      <c r="H11" s="9" t="inlineStr">
        <is>
          <t>Recover customers whose historic value justifies real spend.</t>
        </is>
      </c>
    </row>
    <row r="12">
      <c r="A12" s="13" t="inlineStr">
        <is>
          <t>PAID_RETARGETING</t>
        </is>
      </c>
      <c r="B12" s="13" t="inlineStr">
        <is>
          <t>Paid retargeting</t>
        </is>
      </c>
      <c r="C12" s="13" t="inlineStr">
        <is>
          <t>paid media</t>
        </is>
      </c>
      <c r="D12" s="22" t="n">
        <v>0.9</v>
      </c>
      <c r="E12" s="16" t="n">
        <v>0</v>
      </c>
      <c r="F12" s="21" t="n">
        <v>0.03</v>
      </c>
      <c r="G12" s="13" t="inlineStr">
        <is>
          <t>LAPSING_VALUABLE, COOLING_VALUABLE</t>
        </is>
      </c>
      <c r="H12" s="13" t="inlineStr">
        <is>
          <t>Reach customers outside owned channels.</t>
        </is>
      </c>
    </row>
    <row r="13">
      <c r="A13" s="9" t="inlineStr">
        <is>
          <t>SERVICE_REVIEW</t>
        </is>
      </c>
      <c r="B13" s="9" t="inlineStr">
        <is>
          <t>Service / product-fit review</t>
        </is>
      </c>
      <c r="C13" s="9" t="inlineStr">
        <is>
          <t>operations</t>
        </is>
      </c>
      <c r="D13" s="20" t="n">
        <v>2.5</v>
      </c>
      <c r="E13" s="12" t="n">
        <v>0</v>
      </c>
      <c r="F13" s="21" t="n">
        <v>0</v>
      </c>
      <c r="G13" s="9" t="inlineStr">
        <is>
          <t>SERVICE_RISK</t>
        </is>
      </c>
      <c r="H13" s="9" t="inlineStr">
        <is>
          <t>Fix the experience. This is not a campaign.</t>
        </is>
      </c>
    </row>
    <row r="14">
      <c r="A14" s="13" t="inlineStr">
        <is>
          <t>LOW_COST_NURTURE</t>
        </is>
      </c>
      <c r="B14" s="13" t="inlineStr">
        <is>
          <t>Low-cost nurture</t>
        </is>
      </c>
      <c r="C14" s="13" t="inlineStr">
        <is>
          <t>owned only</t>
        </is>
      </c>
      <c r="D14" s="22" t="n">
        <v>0.02</v>
      </c>
      <c r="E14" s="16" t="n">
        <v>0</v>
      </c>
      <c r="F14" s="21" t="n">
        <v>0.005</v>
      </c>
      <c r="G14" s="13" t="inlineStr">
        <is>
          <t>DORMANT, LAPSING_STANDARD, ACTIVE_STANDARD</t>
        </is>
      </c>
      <c r="H14" s="13" t="inlineStr">
        <is>
          <t>Stay present at near-zero cost. Do not invest further.</t>
        </is>
      </c>
    </row>
    <row r="16">
      <c r="A16" s="7" t="inlineStr">
        <is>
          <t>assumed_uplift is highlighted because it is the only guessed number in the model. [Guessing] — a prior standing in for evidence that does not exist yet. Every completed experiment replaces one of these cells with a measurement.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16" customWidth="1" min="4" max="4"/>
    <col width="16" customWidth="1" min="5" max="5"/>
    <col width="14" customWidth="1" min="6" max="6"/>
    <col width="24" customWidth="1" min="7" max="7"/>
  </cols>
  <sheetData>
    <row r="1">
      <c r="A1" s="1" t="inlineStr">
        <is>
          <t>Break-even uplift calculator</t>
        </is>
      </c>
    </row>
    <row r="2">
      <c r="A2" s="2" t="inlineStr">
        <is>
          <t>Change the blue cells. Everything below recalculates.</t>
        </is>
      </c>
    </row>
    <row r="4">
      <c r="A4" s="17" t="inlineStr">
        <is>
          <t>INPUTS</t>
        </is>
      </c>
      <c r="B4" s="23" t="n"/>
    </row>
    <row r="5">
      <c r="A5" s="3" t="inlineStr">
        <is>
          <t>Average order value</t>
        </is>
      </c>
      <c r="B5" s="24" t="n">
        <v>287.83</v>
      </c>
    </row>
    <row r="6">
      <c r="A6" s="3" t="inlineStr">
        <is>
          <t>Gross margin rate</t>
        </is>
      </c>
      <c r="B6" s="21" t="n">
        <v>0.35</v>
      </c>
    </row>
    <row r="7">
      <c r="A7" s="3" t="inlineStr">
        <is>
          <t>Contact cost per customer</t>
        </is>
      </c>
      <c r="B7" s="24" t="n">
        <v>0.15</v>
      </c>
    </row>
    <row r="8">
      <c r="A8" s="3" t="inlineStr">
        <is>
          <t>Incentive rate (share of AOV)</t>
        </is>
      </c>
      <c r="B8" s="21" t="n">
        <v>0.15</v>
      </c>
    </row>
    <row r="9">
      <c r="A9" s="3" t="inlineStr">
        <is>
          <t>Uplift we assume the action creates</t>
        </is>
      </c>
      <c r="B9" s="21" t="n">
        <v>0.045</v>
      </c>
    </row>
    <row r="11">
      <c r="A11" s="17" t="inlineStr">
        <is>
          <t>THE EQUATION</t>
        </is>
      </c>
    </row>
    <row r="12">
      <c r="A12" s="25" t="inlineStr">
        <is>
          <t>d_breakeven = (contact_cost + P x AOV x incentive_rate) / (AOV x (margin - incentive_rate))</t>
        </is>
      </c>
    </row>
    <row r="13">
      <c r="A13" s="3" t="inlineStr">
        <is>
          <t>Margin minus incentive (must stay positive)</t>
        </is>
      </c>
      <c r="B13" s="6">
        <f>B6-B8</f>
        <v/>
      </c>
      <c r="C13" s="3">
        <f>IF(B13&lt;=0,"IMPOSSIBLE - the discount exceeds the margin","OK")</f>
        <v/>
      </c>
    </row>
    <row r="16">
      <c r="A16" s="8" t="inlineStr">
        <is>
          <t>P(purchase anyway)</t>
        </is>
      </c>
      <c r="B16" s="8" t="inlineStr">
        <is>
          <t>Subsidy paid to organic buyers</t>
        </is>
      </c>
      <c r="C16" s="8" t="inlineStr">
        <is>
          <t>Required uplift to break even</t>
        </is>
      </c>
      <c r="D16" s="8" t="inlineStr">
        <is>
          <t>Assumed uplift</t>
        </is>
      </c>
      <c r="E16" s="8" t="inlineStr">
        <is>
          <t>Margin of safety</t>
        </is>
      </c>
      <c r="F16" s="8" t="inlineStr">
        <is>
          <t>Verdict</t>
        </is>
      </c>
      <c r="G16" s="8" t="inlineStr">
        <is>
          <t>Expected net margin per customer</t>
        </is>
      </c>
    </row>
    <row r="17">
      <c r="A17" s="26" t="n">
        <v>0.02</v>
      </c>
      <c r="B17" s="20">
        <f>A17*$B$5*$B$8</f>
        <v/>
      </c>
      <c r="C17" s="27">
        <f>IF($B$13&lt;=0,"",($B$7+A17*$B$5*$B$8)/($B$5*$B$13))</f>
        <v/>
      </c>
      <c r="D17" s="27">
        <f>$B$9</f>
        <v/>
      </c>
      <c r="E17" s="28">
        <f>IFERROR($B$9/C17,"")</f>
        <v/>
      </c>
      <c r="F17" s="9">
        <f>IF(C17="","impossible",IF($B$9&gt;=C17,"worth it","wasteful"))</f>
        <v/>
      </c>
      <c r="G17" s="29">
        <f>$B$9*$B$5*$B$6-$B$7-(A17+$B$9)*$B$5*$B$8</f>
        <v/>
      </c>
    </row>
    <row r="18">
      <c r="A18" s="30" t="n">
        <v>0.05</v>
      </c>
      <c r="B18" s="22">
        <f>A18*$B$5*$B$8</f>
        <v/>
      </c>
      <c r="C18" s="31">
        <f>IF($B$13&lt;=0,"",($B$7+A18*$B$5*$B$8)/($B$5*$B$13))</f>
        <v/>
      </c>
      <c r="D18" s="31">
        <f>$B$9</f>
        <v/>
      </c>
      <c r="E18" s="32">
        <f>IFERROR($B$9/C18,"")</f>
        <v/>
      </c>
      <c r="F18" s="13">
        <f>IF(C18="","impossible",IF($B$9&gt;=C18,"worth it","wasteful"))</f>
        <v/>
      </c>
      <c r="G18" s="33">
        <f>$B$9*$B$5*$B$6-$B$7-(A18+$B$9)*$B$5*$B$8</f>
        <v/>
      </c>
    </row>
    <row r="19">
      <c r="A19" s="26" t="n">
        <v>0.1</v>
      </c>
      <c r="B19" s="20">
        <f>A19*$B$5*$B$8</f>
        <v/>
      </c>
      <c r="C19" s="27">
        <f>IF($B$13&lt;=0,"",($B$7+A19*$B$5*$B$8)/($B$5*$B$13))</f>
        <v/>
      </c>
      <c r="D19" s="27">
        <f>$B$9</f>
        <v/>
      </c>
      <c r="E19" s="28">
        <f>IFERROR($B$9/C19,"")</f>
        <v/>
      </c>
      <c r="F19" s="9">
        <f>IF(C19="","impossible",IF($B$9&gt;=C19,"worth it","wasteful"))</f>
        <v/>
      </c>
      <c r="G19" s="29">
        <f>$B$9*$B$5*$B$6-$B$7-(A19+$B$9)*$B$5*$B$8</f>
        <v/>
      </c>
    </row>
    <row r="20">
      <c r="A20" s="30" t="n">
        <v>0.15</v>
      </c>
      <c r="B20" s="22">
        <f>A20*$B$5*$B$8</f>
        <v/>
      </c>
      <c r="C20" s="31">
        <f>IF($B$13&lt;=0,"",($B$7+A20*$B$5*$B$8)/($B$5*$B$13))</f>
        <v/>
      </c>
      <c r="D20" s="31">
        <f>$B$9</f>
        <v/>
      </c>
      <c r="E20" s="32">
        <f>IFERROR($B$9/C20,"")</f>
        <v/>
      </c>
      <c r="F20" s="13">
        <f>IF(C20="","impossible",IF($B$9&gt;=C20,"worth it","wasteful"))</f>
        <v/>
      </c>
      <c r="G20" s="33">
        <f>$B$9*$B$5*$B$6-$B$7-(A20+$B$9)*$B$5*$B$8</f>
        <v/>
      </c>
    </row>
    <row r="21">
      <c r="A21" s="26" t="n">
        <v>0.2</v>
      </c>
      <c r="B21" s="20">
        <f>A21*$B$5*$B$8</f>
        <v/>
      </c>
      <c r="C21" s="27">
        <f>IF($B$13&lt;=0,"",($B$7+A21*$B$5*$B$8)/($B$5*$B$13))</f>
        <v/>
      </c>
      <c r="D21" s="27">
        <f>$B$9</f>
        <v/>
      </c>
      <c r="E21" s="28">
        <f>IFERROR($B$9/C21,"")</f>
        <v/>
      </c>
      <c r="F21" s="9">
        <f>IF(C21="","impossible",IF($B$9&gt;=C21,"worth it","wasteful"))</f>
        <v/>
      </c>
      <c r="G21" s="29">
        <f>$B$9*$B$5*$B$6-$B$7-(A21+$B$9)*$B$5*$B$8</f>
        <v/>
      </c>
    </row>
    <row r="22">
      <c r="A22" s="30" t="n">
        <v>0.3</v>
      </c>
      <c r="B22" s="22">
        <f>A22*$B$5*$B$8</f>
        <v/>
      </c>
      <c r="C22" s="31">
        <f>IF($B$13&lt;=0,"",($B$7+A22*$B$5*$B$8)/($B$5*$B$13))</f>
        <v/>
      </c>
      <c r="D22" s="31">
        <f>$B$9</f>
        <v/>
      </c>
      <c r="E22" s="32">
        <f>IFERROR($B$9/C22,"")</f>
        <v/>
      </c>
      <c r="F22" s="13">
        <f>IF(C22="","impossible",IF($B$9&gt;=C22,"worth it","wasteful"))</f>
        <v/>
      </c>
      <c r="G22" s="33">
        <f>$B$9*$B$5*$B$6-$B$7-(A22+$B$9)*$B$5*$B$8</f>
        <v/>
      </c>
    </row>
    <row r="23">
      <c r="A23" s="26" t="n">
        <v>0.4</v>
      </c>
      <c r="B23" s="20">
        <f>A23*$B$5*$B$8</f>
        <v/>
      </c>
      <c r="C23" s="27">
        <f>IF($B$13&lt;=0,"",($B$7+A23*$B$5*$B$8)/($B$5*$B$13))</f>
        <v/>
      </c>
      <c r="D23" s="27">
        <f>$B$9</f>
        <v/>
      </c>
      <c r="E23" s="28">
        <f>IFERROR($B$9/C23,"")</f>
        <v/>
      </c>
      <c r="F23" s="9">
        <f>IF(C23="","impossible",IF($B$9&gt;=C23,"worth it","wasteful"))</f>
        <v/>
      </c>
      <c r="G23" s="29">
        <f>$B$9*$B$5*$B$6-$B$7-(A23+$B$9)*$B$5*$B$8</f>
        <v/>
      </c>
    </row>
    <row r="24">
      <c r="A24" s="30" t="n">
        <v>0.5</v>
      </c>
      <c r="B24" s="22">
        <f>A24*$B$5*$B$8</f>
        <v/>
      </c>
      <c r="C24" s="31">
        <f>IF($B$13&lt;=0,"",($B$7+A24*$B$5*$B$8)/($B$5*$B$13))</f>
        <v/>
      </c>
      <c r="D24" s="31">
        <f>$B$9</f>
        <v/>
      </c>
      <c r="E24" s="32">
        <f>IFERROR($B$9/C24,"")</f>
        <v/>
      </c>
      <c r="F24" s="13">
        <f>IF(C24="","impossible",IF($B$9&gt;=C24,"worth it","wasteful"))</f>
        <v/>
      </c>
      <c r="G24" s="33">
        <f>$B$9*$B$5*$B$6-$B$7-(A24+$B$9)*$B$5*$B$8</f>
        <v/>
      </c>
    </row>
    <row r="25">
      <c r="A25" s="26" t="n">
        <v>0.6</v>
      </c>
      <c r="B25" s="20">
        <f>A25*$B$5*$B$8</f>
        <v/>
      </c>
      <c r="C25" s="27">
        <f>IF($B$13&lt;=0,"",($B$7+A25*$B$5*$B$8)/($B$5*$B$13))</f>
        <v/>
      </c>
      <c r="D25" s="27">
        <f>$B$9</f>
        <v/>
      </c>
      <c r="E25" s="28">
        <f>IFERROR($B$9/C25,"")</f>
        <v/>
      </c>
      <c r="F25" s="9">
        <f>IF(C25="","impossible",IF($B$9&gt;=C25,"worth it","wasteful"))</f>
        <v/>
      </c>
      <c r="G25" s="29">
        <f>$B$9*$B$5*$B$6-$B$7-(A25+$B$9)*$B$5*$B$8</f>
        <v/>
      </c>
    </row>
    <row r="26">
      <c r="A26" s="30" t="n">
        <v>0.7</v>
      </c>
      <c r="B26" s="22">
        <f>A26*$B$5*$B$8</f>
        <v/>
      </c>
      <c r="C26" s="31">
        <f>IF($B$13&lt;=0,"",($B$7+A26*$B$5*$B$8)/($B$5*$B$13))</f>
        <v/>
      </c>
      <c r="D26" s="31">
        <f>$B$9</f>
        <v/>
      </c>
      <c r="E26" s="32">
        <f>IFERROR($B$9/C26,"")</f>
        <v/>
      </c>
      <c r="F26" s="13">
        <f>IF(C26="","impossible",IF($B$9&gt;=C26,"worth it","wasteful"))</f>
        <v/>
      </c>
      <c r="G26" s="33">
        <f>$B$9*$B$5*$B$6-$B$7-(A26+$B$9)*$B$5*$B$8</f>
        <v/>
      </c>
    </row>
    <row r="27">
      <c r="A27" s="26" t="n">
        <v>0.8</v>
      </c>
      <c r="B27" s="20">
        <f>A27*$B$5*$B$8</f>
        <v/>
      </c>
      <c r="C27" s="27">
        <f>IF($B$13&lt;=0,"",($B$7+A27*$B$5*$B$8)/($B$5*$B$13))</f>
        <v/>
      </c>
      <c r="D27" s="27">
        <f>$B$9</f>
        <v/>
      </c>
      <c r="E27" s="28">
        <f>IFERROR($B$9/C27,"")</f>
        <v/>
      </c>
      <c r="F27" s="9">
        <f>IF(C27="","impossible",IF($B$9&gt;=C27,"worth it","wasteful"))</f>
        <v/>
      </c>
      <c r="G27" s="29">
        <f>$B$9*$B$5*$B$6-$B$7-(A27+$B$9)*$B$5*$B$8</f>
        <v/>
      </c>
    </row>
    <row r="28">
      <c r="A28" s="30" t="n">
        <v>0.9</v>
      </c>
      <c r="B28" s="22">
        <f>A28*$B$5*$B$8</f>
        <v/>
      </c>
      <c r="C28" s="31">
        <f>IF($B$13&lt;=0,"",($B$7+A28*$B$5*$B$8)/($B$5*$B$13))</f>
        <v/>
      </c>
      <c r="D28" s="31">
        <f>$B$9</f>
        <v/>
      </c>
      <c r="E28" s="32">
        <f>IFERROR($B$9/C28,"")</f>
        <v/>
      </c>
      <c r="F28" s="13">
        <f>IF(C28="","impossible",IF($B$9&gt;=C28,"worth it","wasteful"))</f>
        <v/>
      </c>
      <c r="G28" s="33">
        <f>$B$9*$B$5*$B$6-$B$7-(A28+$B$9)*$B$5*$B$8</f>
        <v/>
      </c>
    </row>
    <row r="30">
      <c r="A30" s="7" t="inlineStr">
        <is>
          <t>Read the third column down the page. With any incentive at all, the required uplift RISES with P — because the discount is paid to everyone who converts, including the customers who were buying anyway. That is the deadweight cost, and it is why 'P &gt; 0.5 -&gt; send a discount' targets exactly the wrong people.</t>
        </is>
      </c>
    </row>
    <row r="31">
      <c r="A31" s="7" t="inlineStr">
        <is>
          <t>Set the incentive rate to 0% and watch the whole column collapse to near zero: a free owned-channel message clears its bar almost everywhere. Set the incentive above the margin and cell C13 tells you no uplift can ever pay for it.</t>
        </is>
      </c>
    </row>
    <row r="32">
      <c r="A32" s="7" t="inlineStr">
        <is>
          <t>AOV defaults to the median of the scored population. Margin is an assumption supplied by the user, not derived from the data — Online Retail II carries no cost information.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1" customWidth="1" min="3" max="3"/>
    <col width="12" customWidth="1" min="4" max="4"/>
    <col width="23" customWidth="1" min="5" max="5"/>
    <col width="19" customWidth="1" min="6" max="6"/>
    <col width="24" customWidth="1" min="7" max="7"/>
    <col width="24" customWidth="1" min="8" max="8"/>
    <col width="17" customWidth="1" min="9" max="9"/>
  </cols>
  <sheetData>
    <row r="1">
      <c r="A1" s="1" t="inlineStr">
        <is>
          <t>Which state receives which action</t>
        </is>
      </c>
    </row>
    <row r="2">
      <c r="A2" s="2" t="inlineStr">
        <is>
          <t>The state decides the action. The score alone never does.</t>
        </is>
      </c>
    </row>
    <row r="4">
      <c r="A4" s="8" t="inlineStr">
        <is>
          <t>customer_state</t>
        </is>
      </c>
      <c r="B4" s="8" t="inlineStr">
        <is>
          <t>LOW_COST_NURTURE</t>
        </is>
      </c>
      <c r="C4" s="8" t="inlineStr">
        <is>
          <t>LOYALTY_CROSS_SELL</t>
        </is>
      </c>
      <c r="D4" s="8" t="inlineStr">
        <is>
          <t>NO_ACTION</t>
        </is>
      </c>
      <c r="E4" s="8" t="inlineStr">
        <is>
          <t>OWNED_RECOMMENDATION</t>
        </is>
      </c>
      <c r="F4" s="8" t="inlineStr">
        <is>
          <t>PAID_RETARGETING</t>
        </is>
      </c>
      <c r="G4" s="8" t="inlineStr">
        <is>
          <t>REACTIVATION_SEQUENCE</t>
        </is>
      </c>
      <c r="H4" s="8" t="inlineStr">
        <is>
          <t>SECOND_PURCHASE_JOURNEY</t>
        </is>
      </c>
      <c r="I4" s="8" t="inlineStr">
        <is>
          <t>SERVICE_REVIEW</t>
        </is>
      </c>
    </row>
    <row r="5">
      <c r="A5" s="9" t="inlineStr">
        <is>
          <t>ACTIVE_STANDARD</t>
        </is>
      </c>
      <c r="B5" s="9" t="n">
        <v>0</v>
      </c>
      <c r="C5" s="9" t="n">
        <v>0</v>
      </c>
      <c r="D5" s="9" t="n">
        <v>0</v>
      </c>
      <c r="E5" s="9" t="n">
        <v>3001</v>
      </c>
      <c r="F5" s="9" t="n">
        <v>0</v>
      </c>
      <c r="G5" s="9" t="n">
        <v>0</v>
      </c>
      <c r="H5" s="9" t="n">
        <v>0</v>
      </c>
      <c r="I5" s="9" t="n">
        <v>0</v>
      </c>
    </row>
    <row r="6">
      <c r="A6" s="13" t="inlineStr">
        <is>
          <t>ACTIVE_VALUABLE</t>
        </is>
      </c>
      <c r="B6" s="13" t="n">
        <v>0</v>
      </c>
      <c r="C6" s="13" t="n">
        <v>2043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</row>
    <row r="7">
      <c r="A7" s="9" t="inlineStr">
        <is>
          <t>COOLING_STANDARD</t>
        </is>
      </c>
      <c r="B7" s="9" t="n">
        <v>0</v>
      </c>
      <c r="C7" s="9" t="n">
        <v>0</v>
      </c>
      <c r="D7" s="9" t="n">
        <v>0</v>
      </c>
      <c r="E7" s="9" t="n">
        <v>1</v>
      </c>
      <c r="F7" s="9" t="n">
        <v>0</v>
      </c>
      <c r="G7" s="9" t="n">
        <v>44</v>
      </c>
      <c r="H7" s="9" t="n">
        <v>0</v>
      </c>
      <c r="I7" s="9" t="n">
        <v>0</v>
      </c>
    </row>
    <row r="8">
      <c r="A8" s="13" t="inlineStr">
        <is>
          <t>COOLING_VALUABLE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95</v>
      </c>
      <c r="G8" s="13" t="n">
        <v>183</v>
      </c>
      <c r="H8" s="13" t="n">
        <v>0</v>
      </c>
      <c r="I8" s="13" t="n">
        <v>0</v>
      </c>
    </row>
    <row r="9">
      <c r="A9" s="9" t="inlineStr">
        <is>
          <t>DORMANT</t>
        </is>
      </c>
      <c r="B9" s="9" t="n">
        <v>862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</row>
    <row r="10">
      <c r="A10" s="13" t="inlineStr">
        <is>
          <t>LAPSING_STANDARD</t>
        </is>
      </c>
      <c r="B10" s="13" t="n">
        <v>235</v>
      </c>
      <c r="C10" s="13" t="n">
        <v>0</v>
      </c>
      <c r="D10" s="13" t="n">
        <v>1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</row>
    <row r="11">
      <c r="A11" s="9" t="inlineStr">
        <is>
          <t>LAPSING_VALUABLE</t>
        </is>
      </c>
      <c r="B11" s="9" t="n">
        <v>0</v>
      </c>
      <c r="C11" s="9" t="n">
        <v>0</v>
      </c>
      <c r="D11" s="9" t="n">
        <v>1</v>
      </c>
      <c r="E11" s="9" t="n">
        <v>0</v>
      </c>
      <c r="F11" s="9" t="n">
        <v>672</v>
      </c>
      <c r="G11" s="9" t="n">
        <v>0</v>
      </c>
      <c r="H11" s="9" t="n">
        <v>0</v>
      </c>
      <c r="I11" s="9" t="n">
        <v>0</v>
      </c>
    </row>
    <row r="12">
      <c r="A12" s="13" t="inlineStr">
        <is>
          <t>NEW_UNPROVEN</t>
        </is>
      </c>
      <c r="B12" s="13" t="n">
        <v>0</v>
      </c>
      <c r="C12" s="13" t="n">
        <v>0</v>
      </c>
      <c r="D12" s="13" t="n">
        <v>332</v>
      </c>
      <c r="E12" s="13" t="n">
        <v>0</v>
      </c>
      <c r="F12" s="13" t="n">
        <v>0</v>
      </c>
      <c r="G12" s="13" t="n">
        <v>0</v>
      </c>
      <c r="H12" s="13" t="n">
        <v>2926</v>
      </c>
      <c r="I12" s="13" t="n">
        <v>0</v>
      </c>
    </row>
    <row r="13">
      <c r="A13" s="9" t="inlineStr">
        <is>
          <t>SERVICE_RISK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701</v>
      </c>
    </row>
    <row r="15">
      <c r="A15" s="7" t="inlineStr">
        <is>
          <t>Three cells worth pausing on: ACTIVE_VALUABLE receives loyalty and cross-sell, never a discount. LAPSING_VALUABLE receives the expensive win-back that a pure propensity ranking would never justify. SERVICE_RISK receives no campaign at all — it is routed to operations, because a discount aimed at a product-fit problem makes the returns worse.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15" customWidth="1" min="4" max="4"/>
    <col width="22" customWidth="1" min="5" max="5"/>
    <col width="12" customWidth="1" min="6" max="6"/>
    <col width="21" customWidth="1" min="7" max="7"/>
    <col width="21" customWidth="1" min="8" max="8"/>
    <col width="26" customWidth="1" min="9" max="9"/>
    <col width="25" customWidth="1" min="10" max="10"/>
    <col width="17" customWidth="1" min="11" max="11"/>
    <col width="21" customWidth="1" min="12" max="12"/>
    <col width="22" customWidth="1" min="13" max="13"/>
    <col width="16" customWidth="1" min="14" max="14"/>
    <col width="17" customWidth="1" min="15" max="15"/>
  </cols>
  <sheetData>
    <row r="1">
      <c r="A1" s="1" t="inlineStr">
        <is>
          <t>The list a marketer would actually work</t>
        </is>
      </c>
    </row>
    <row r="2">
      <c r="A2" s="2" t="inlineStr">
        <is>
          <t>Each row is a complete argument, not a score asking to be trusted.</t>
        </is>
      </c>
    </row>
    <row r="4">
      <c r="A4" s="8" t="inlineStr">
        <is>
          <t>customer_id</t>
        </is>
      </c>
      <c r="B4" s="8" t="inlineStr">
        <is>
          <t>customer_state</t>
        </is>
      </c>
      <c r="C4" s="8" t="inlineStr">
        <is>
          <t>purchase_probability</t>
        </is>
      </c>
      <c r="D4" s="8" t="inlineStr">
        <is>
          <t>recency_days</t>
        </is>
      </c>
      <c r="E4" s="8" t="inlineStr">
        <is>
          <t>recency_ratio</t>
        </is>
      </c>
      <c r="F4" s="8" t="inlineStr">
        <is>
          <t>frequency</t>
        </is>
      </c>
      <c r="G4" s="8" t="inlineStr">
        <is>
          <t>monetary</t>
        </is>
      </c>
      <c r="H4" s="8" t="inlineStr">
        <is>
          <t>aov</t>
        </is>
      </c>
      <c r="I4" s="8" t="inlineStr">
        <is>
          <t>recommended_action</t>
        </is>
      </c>
      <c r="J4" s="8" t="inlineStr">
        <is>
          <t>required_uplift</t>
        </is>
      </c>
      <c r="K4" s="8" t="inlineStr">
        <is>
          <t>assumed_uplift</t>
        </is>
      </c>
      <c r="L4" s="8" t="inlineStr">
        <is>
          <t>margin_of_safety</t>
        </is>
      </c>
      <c r="M4" s="8" t="inlineStr">
        <is>
          <t>expected_net_margin</t>
        </is>
      </c>
      <c r="N4" s="8" t="inlineStr">
        <is>
          <t>priority_band</t>
        </is>
      </c>
      <c r="O4" s="8" t="inlineStr">
        <is>
          <t>experiment_arm</t>
        </is>
      </c>
    </row>
    <row r="5">
      <c r="A5" s="9" t="inlineStr">
        <is>
          <t>15749</t>
        </is>
      </c>
      <c r="B5" s="9" t="inlineStr">
        <is>
          <t>LAPSING_VALUABLE</t>
        </is>
      </c>
      <c r="C5" s="12" t="n">
        <v>0.134463954438312</v>
      </c>
      <c r="D5" s="9" t="n">
        <v>196</v>
      </c>
      <c r="E5" s="11" t="n">
        <v>1.337883959044369</v>
      </c>
      <c r="F5" s="9" t="n">
        <v>3</v>
      </c>
      <c r="G5" s="10" t="n">
        <v>44534.3</v>
      </c>
      <c r="H5" s="10" t="n">
        <v>14844.76666666667</v>
      </c>
      <c r="I5" s="9" t="inlineStr">
        <is>
          <t>PAID_RETARGETING</t>
        </is>
      </c>
      <c r="J5" s="27" t="n">
        <v>0.000173221218572779</v>
      </c>
      <c r="K5" s="12" t="n">
        <v>0.03</v>
      </c>
      <c r="L5" s="28" t="n">
        <v>173.1889444444445</v>
      </c>
      <c r="M5" s="20" t="n">
        <v>154.97005</v>
      </c>
      <c r="N5" s="9" t="inlineStr">
        <is>
          <t>CRITICAL</t>
        </is>
      </c>
      <c r="O5" s="9" t="inlineStr">
        <is>
          <t>TREATMENT</t>
        </is>
      </c>
    </row>
    <row r="6">
      <c r="A6" s="13" t="inlineStr">
        <is>
          <t>15749</t>
        </is>
      </c>
      <c r="B6" s="13" t="inlineStr">
        <is>
          <t>LAPSING_VALUABLE</t>
        </is>
      </c>
      <c r="C6" s="16" t="n">
        <v>0.1075477828541211</v>
      </c>
      <c r="D6" s="13" t="n">
        <v>165</v>
      </c>
      <c r="E6" s="15" t="n">
        <v>1.259541984732824</v>
      </c>
      <c r="F6" s="13" t="n">
        <v>3</v>
      </c>
      <c r="G6" s="14" t="n">
        <v>44534.3</v>
      </c>
      <c r="H6" s="14" t="n">
        <v>14844.76666666667</v>
      </c>
      <c r="I6" s="13" t="inlineStr">
        <is>
          <t>PAID_RETARGETING</t>
        </is>
      </c>
      <c r="J6" s="31" t="n">
        <v>0.000173221218572779</v>
      </c>
      <c r="K6" s="16" t="n">
        <v>0.03</v>
      </c>
      <c r="L6" s="32" t="n">
        <v>173.1889444444445</v>
      </c>
      <c r="M6" s="22" t="n">
        <v>154.97005</v>
      </c>
      <c r="N6" s="13" t="inlineStr">
        <is>
          <t>CRITICAL</t>
        </is>
      </c>
      <c r="O6" s="13" t="inlineStr">
        <is>
          <t>TREATMENT</t>
        </is>
      </c>
    </row>
    <row r="7">
      <c r="A7" s="9" t="inlineStr">
        <is>
          <t>13687</t>
        </is>
      </c>
      <c r="B7" s="9" t="inlineStr">
        <is>
          <t>NEW_UNPROVEN</t>
        </is>
      </c>
      <c r="C7" s="12" t="n">
        <v>0.02267911412227082</v>
      </c>
      <c r="D7" s="9" t="n">
        <v>399</v>
      </c>
      <c r="E7" s="11" t="n"/>
      <c r="F7" s="9" t="n">
        <v>1</v>
      </c>
      <c r="G7" s="10" t="n">
        <v>11880.84</v>
      </c>
      <c r="H7" s="10" t="n">
        <v>11880.84</v>
      </c>
      <c r="I7" s="9" t="inlineStr">
        <is>
          <t>SECOND_PURCHASE_JOURNEY</t>
        </is>
      </c>
      <c r="J7" s="27" t="n">
        <v>0.003807908731319222</v>
      </c>
      <c r="K7" s="12" t="n">
        <v>0.03</v>
      </c>
      <c r="L7" s="28" t="n">
        <v>7.878340085532123</v>
      </c>
      <c r="M7" s="20" t="n">
        <v>93.355213688578</v>
      </c>
      <c r="N7" s="9" t="inlineStr">
        <is>
          <t>CRITICAL</t>
        </is>
      </c>
      <c r="O7" s="9" t="inlineStr">
        <is>
          <t>TREATMENT</t>
        </is>
      </c>
    </row>
    <row r="8">
      <c r="A8" s="13" t="inlineStr">
        <is>
          <t>18052</t>
        </is>
      </c>
      <c r="B8" s="13" t="inlineStr">
        <is>
          <t>NEW_UNPROVEN</t>
        </is>
      </c>
      <c r="C8" s="16" t="n">
        <v>0.01852521821318159</v>
      </c>
      <c r="D8" s="13" t="n">
        <v>525</v>
      </c>
      <c r="E8" s="15" t="n"/>
      <c r="F8" s="13" t="n">
        <v>1</v>
      </c>
      <c r="G8" s="14" t="n">
        <v>10877.18</v>
      </c>
      <c r="H8" s="14" t="n">
        <v>10877.18</v>
      </c>
      <c r="I8" s="13" t="inlineStr">
        <is>
          <t>SECOND_PURCHASE_JOURNEY</t>
        </is>
      </c>
      <c r="J8" s="31" t="n">
        <v>0.003118181566730448</v>
      </c>
      <c r="K8" s="16" t="n">
        <v>0.03</v>
      </c>
      <c r="L8" s="32" t="n">
        <v>9.62099202948478</v>
      </c>
      <c r="M8" s="22" t="n">
        <v>87.71951334779726</v>
      </c>
      <c r="N8" s="13" t="inlineStr">
        <is>
          <t>CRITICAL</t>
        </is>
      </c>
      <c r="O8" s="13" t="inlineStr">
        <is>
          <t>TREATMENT</t>
        </is>
      </c>
    </row>
    <row r="9">
      <c r="A9" s="9" t="inlineStr">
        <is>
          <t>18052</t>
        </is>
      </c>
      <c r="B9" s="9" t="inlineStr">
        <is>
          <t>NEW_UNPROVEN</t>
        </is>
      </c>
      <c r="C9" s="12" t="n">
        <v>0.02019170697835919</v>
      </c>
      <c r="D9" s="9" t="n">
        <v>494</v>
      </c>
      <c r="E9" s="11" t="n"/>
      <c r="F9" s="9" t="n">
        <v>1</v>
      </c>
      <c r="G9" s="10" t="n">
        <v>10877.18</v>
      </c>
      <c r="H9" s="10" t="n">
        <v>10877.18</v>
      </c>
      <c r="I9" s="9" t="inlineStr">
        <is>
          <t>SECOND_PURCHASE_JOURNEY</t>
        </is>
      </c>
      <c r="J9" s="27" t="n">
        <v>0.003395929694260047</v>
      </c>
      <c r="K9" s="12" t="n">
        <v>0.03</v>
      </c>
      <c r="L9" s="28" t="n">
        <v>8.834105149675903</v>
      </c>
      <c r="M9" s="20" t="n">
        <v>86.81317843445655</v>
      </c>
      <c r="N9" s="9" t="inlineStr">
        <is>
          <t>CRITICAL</t>
        </is>
      </c>
      <c r="O9" s="9" t="inlineStr">
        <is>
          <t>TREATMENT</t>
        </is>
      </c>
    </row>
    <row r="10">
      <c r="A10" s="13" t="inlineStr">
        <is>
          <t>13687</t>
        </is>
      </c>
      <c r="B10" s="13" t="inlineStr">
        <is>
          <t>NEW_UNPROVEN</t>
        </is>
      </c>
      <c r="C10" s="16" t="n">
        <v>0.0360661927241118</v>
      </c>
      <c r="D10" s="13" t="n">
        <v>368</v>
      </c>
      <c r="E10" s="15" t="n"/>
      <c r="F10" s="13" t="n">
        <v>1</v>
      </c>
      <c r="G10" s="14" t="n">
        <v>11880.84</v>
      </c>
      <c r="H10" s="14" t="n">
        <v>11880.84</v>
      </c>
      <c r="I10" s="13" t="inlineStr">
        <is>
          <t>SECOND_PURCHASE_JOURNEY</t>
        </is>
      </c>
      <c r="J10" s="31" t="n">
        <v>0.00603908849829272</v>
      </c>
      <c r="K10" s="16" t="n">
        <v>0.03</v>
      </c>
      <c r="L10" s="32" t="n">
        <v>4.967637087696454</v>
      </c>
      <c r="M10" s="22" t="n">
        <v>85.40272674178317</v>
      </c>
      <c r="N10" s="13" t="inlineStr">
        <is>
          <t>CRITICAL</t>
        </is>
      </c>
      <c r="O10" s="13" t="inlineStr">
        <is>
          <t>TREATMENT</t>
        </is>
      </c>
    </row>
    <row r="11">
      <c r="A11" s="9" t="inlineStr">
        <is>
          <t>13902</t>
        </is>
      </c>
      <c r="B11" s="9" t="inlineStr">
        <is>
          <t>LAPSING_VALUABLE</t>
        </is>
      </c>
      <c r="C11" s="12" t="n">
        <v>0.02947528411192303</v>
      </c>
      <c r="D11" s="9" t="n">
        <v>593</v>
      </c>
      <c r="E11" s="11" t="n">
        <v>3.462773722627737</v>
      </c>
      <c r="F11" s="9" t="n">
        <v>5</v>
      </c>
      <c r="G11" s="10" t="n">
        <v>34095.25999999999</v>
      </c>
      <c r="H11" s="10" t="n">
        <v>6819.051999999999</v>
      </c>
      <c r="I11" s="9" t="inlineStr">
        <is>
          <t>PAID_RETARGETING</t>
        </is>
      </c>
      <c r="J11" s="27" t="n">
        <v>0.0003770947297994753</v>
      </c>
      <c r="K11" s="12" t="n">
        <v>0.03</v>
      </c>
      <c r="L11" s="28" t="n">
        <v>79.55560666666665</v>
      </c>
      <c r="M11" s="20" t="n">
        <v>70.70004599999997</v>
      </c>
      <c r="N11" s="9" t="inlineStr">
        <is>
          <t>CRITICAL</t>
        </is>
      </c>
      <c r="O11" s="9" t="inlineStr">
        <is>
          <t>TREATMENT</t>
        </is>
      </c>
    </row>
    <row r="12">
      <c r="A12" s="13" t="inlineStr">
        <is>
          <t>13902</t>
        </is>
      </c>
      <c r="B12" s="13" t="inlineStr">
        <is>
          <t>LAPSING_VALUABLE</t>
        </is>
      </c>
      <c r="C12" s="16" t="n">
        <v>0.02947528411192303</v>
      </c>
      <c r="D12" s="13" t="n">
        <v>562</v>
      </c>
      <c r="E12" s="15" t="n">
        <v>3.437308868501529</v>
      </c>
      <c r="F12" s="13" t="n">
        <v>5</v>
      </c>
      <c r="G12" s="14" t="n">
        <v>34095.25999999999</v>
      </c>
      <c r="H12" s="14" t="n">
        <v>6819.051999999999</v>
      </c>
      <c r="I12" s="13" t="inlineStr">
        <is>
          <t>PAID_RETARGETING</t>
        </is>
      </c>
      <c r="J12" s="31" t="n">
        <v>0.0003770947297994753</v>
      </c>
      <c r="K12" s="16" t="n">
        <v>0.03</v>
      </c>
      <c r="L12" s="32" t="n">
        <v>79.55560666666665</v>
      </c>
      <c r="M12" s="22" t="n">
        <v>70.70004599999997</v>
      </c>
      <c r="N12" s="13" t="inlineStr">
        <is>
          <t>CRITICAL</t>
        </is>
      </c>
      <c r="O12" s="13" t="inlineStr">
        <is>
          <t>TREATMENT</t>
        </is>
      </c>
    </row>
    <row r="13">
      <c r="A13" s="9" t="inlineStr">
        <is>
          <t>12346</t>
        </is>
      </c>
      <c r="B13" s="9" t="inlineStr">
        <is>
          <t>LAPSING_VALUABLE</t>
        </is>
      </c>
      <c r="C13" s="12" t="n">
        <v>0.0523538121275487</v>
      </c>
      <c r="D13" s="9" t="n">
        <v>255</v>
      </c>
      <c r="E13" s="11" t="n">
        <v>4.282442748091603</v>
      </c>
      <c r="F13" s="9" t="n">
        <v>12</v>
      </c>
      <c r="G13" s="10" t="n">
        <v>77556.46000000001</v>
      </c>
      <c r="H13" s="10" t="n">
        <v>6463.038333333334</v>
      </c>
      <c r="I13" s="9" t="inlineStr">
        <is>
          <t>PAID_RETARGETING</t>
        </is>
      </c>
      <c r="J13" s="27" t="n">
        <v>0.000397866829625061</v>
      </c>
      <c r="K13" s="12" t="n">
        <v>0.03</v>
      </c>
      <c r="L13" s="28" t="n">
        <v>75.40211388888889</v>
      </c>
      <c r="M13" s="20" t="n">
        <v>66.96190249999999</v>
      </c>
      <c r="N13" s="9" t="inlineStr">
        <is>
          <t>CRITICAL</t>
        </is>
      </c>
      <c r="O13" s="9" t="inlineStr">
        <is>
          <t>TREATMENT</t>
        </is>
      </c>
    </row>
    <row r="14">
      <c r="A14" s="13" t="inlineStr">
        <is>
          <t>12346</t>
        </is>
      </c>
      <c r="B14" s="13" t="inlineStr">
        <is>
          <t>LAPSING_VALUABLE</t>
        </is>
      </c>
      <c r="C14" s="16" t="n">
        <v>0.04747542252068467</v>
      </c>
      <c r="D14" s="13" t="n">
        <v>286</v>
      </c>
      <c r="E14" s="15" t="n">
        <v>4.586005830903789</v>
      </c>
      <c r="F14" s="13" t="n">
        <v>12</v>
      </c>
      <c r="G14" s="14" t="n">
        <v>77556.46000000001</v>
      </c>
      <c r="H14" s="14" t="n">
        <v>6463.038333333334</v>
      </c>
      <c r="I14" s="13" t="inlineStr">
        <is>
          <t>PAID_RETARGETING</t>
        </is>
      </c>
      <c r="J14" s="31" t="n">
        <v>0.000397866829625061</v>
      </c>
      <c r="K14" s="16" t="n">
        <v>0.03</v>
      </c>
      <c r="L14" s="32" t="n">
        <v>75.40211388888889</v>
      </c>
      <c r="M14" s="22" t="n">
        <v>66.96190249999999</v>
      </c>
      <c r="N14" s="13" t="inlineStr">
        <is>
          <t>CRITICAL</t>
        </is>
      </c>
      <c r="O14" s="13" t="inlineStr">
        <is>
          <t>TREATMENT</t>
        </is>
      </c>
    </row>
    <row r="15">
      <c r="A15" s="9" t="inlineStr">
        <is>
          <t>12357</t>
        </is>
      </c>
      <c r="B15" s="9" t="inlineStr">
        <is>
          <t>ACTIVE_VALUABLE</t>
        </is>
      </c>
      <c r="C15" s="12" t="n">
        <v>0.07481433523454434</v>
      </c>
      <c r="D15" s="9" t="n">
        <v>349</v>
      </c>
      <c r="E15" s="11" t="n">
        <v>1</v>
      </c>
      <c r="F15" s="9" t="n">
        <v>2</v>
      </c>
      <c r="G15" s="10" t="n">
        <v>12079.99</v>
      </c>
      <c r="H15" s="10" t="n">
        <v>6039.995</v>
      </c>
      <c r="I15" s="9" t="inlineStr">
        <is>
          <t>LOYALTY_CROSS_SELL</t>
        </is>
      </c>
      <c r="J15" s="27" t="n">
        <v>5.67644746158139e-05</v>
      </c>
      <c r="K15" s="12" t="n">
        <v>0.02</v>
      </c>
      <c r="L15" s="28" t="n">
        <v>352.3330416666666</v>
      </c>
      <c r="M15" s="20" t="n">
        <v>42.159965</v>
      </c>
      <c r="N15" s="9" t="inlineStr">
        <is>
          <t>CRITICAL</t>
        </is>
      </c>
      <c r="O15" s="9" t="inlineStr">
        <is>
          <t>TREATMENT</t>
        </is>
      </c>
    </row>
    <row r="16">
      <c r="A16" s="13" t="inlineStr">
        <is>
          <t>12357</t>
        </is>
      </c>
      <c r="B16" s="13" t="inlineStr">
        <is>
          <t>ACTIVE_VALUABLE</t>
        </is>
      </c>
      <c r="C16" s="16" t="n">
        <v>0.07066551835991575</v>
      </c>
      <c r="D16" s="13" t="n">
        <v>318</v>
      </c>
      <c r="E16" s="15" t="n">
        <v>1</v>
      </c>
      <c r="F16" s="13" t="n">
        <v>2</v>
      </c>
      <c r="G16" s="14" t="n">
        <v>12079.99</v>
      </c>
      <c r="H16" s="14" t="n">
        <v>6039.995</v>
      </c>
      <c r="I16" s="13" t="inlineStr">
        <is>
          <t>LOYALTY_CROSS_SELL</t>
        </is>
      </c>
      <c r="J16" s="31" t="n">
        <v>5.67644746158139e-05</v>
      </c>
      <c r="K16" s="16" t="n">
        <v>0.02</v>
      </c>
      <c r="L16" s="32" t="n">
        <v>352.3330416666666</v>
      </c>
      <c r="M16" s="22" t="n">
        <v>42.159965</v>
      </c>
      <c r="N16" s="13" t="inlineStr">
        <is>
          <t>CRITICAL</t>
        </is>
      </c>
      <c r="O16" s="13" t="inlineStr">
        <is>
          <t>TREATMENT</t>
        </is>
      </c>
    </row>
    <row r="17">
      <c r="A17" s="9" t="inlineStr">
        <is>
          <t>12415</t>
        </is>
      </c>
      <c r="B17" s="9" t="inlineStr">
        <is>
          <t>ACTIVE_VALUABLE</t>
        </is>
      </c>
      <c r="C17" s="12" t="n">
        <v>0.7110060930667792</v>
      </c>
      <c r="D17" s="9" t="n">
        <v>26</v>
      </c>
      <c r="E17" s="11" t="n">
        <v>1.225409836065574</v>
      </c>
      <c r="F17" s="9" t="n">
        <v>24</v>
      </c>
      <c r="G17" s="10" t="n">
        <v>138103.49</v>
      </c>
      <c r="H17" s="10" t="n">
        <v>5754.312083333333</v>
      </c>
      <c r="I17" s="9" t="inlineStr">
        <is>
          <t>LOYALTY_CROSS_SELL</t>
        </is>
      </c>
      <c r="J17" s="27" t="n">
        <v>5.958264652523574e-05</v>
      </c>
      <c r="K17" s="12" t="n">
        <v>0.02</v>
      </c>
      <c r="L17" s="28" t="n">
        <v>335.6682048611111</v>
      </c>
      <c r="M17" s="20" t="n">
        <v>40.16018458333333</v>
      </c>
      <c r="N17" s="9" t="inlineStr">
        <is>
          <t>CRITICAL</t>
        </is>
      </c>
      <c r="O17" s="9" t="inlineStr">
        <is>
          <t>TREATMENT</t>
        </is>
      </c>
    </row>
    <row r="18">
      <c r="A18" s="13" t="inlineStr">
        <is>
          <t>14088</t>
        </is>
      </c>
      <c r="B18" s="13" t="inlineStr">
        <is>
          <t>COOLING_VALUABLE</t>
        </is>
      </c>
      <c r="C18" s="16" t="n">
        <v>0.5863772497653563</v>
      </c>
      <c r="D18" s="13" t="n">
        <v>58</v>
      </c>
      <c r="E18" s="15" t="n">
        <v>1.487179487179487</v>
      </c>
      <c r="F18" s="13" t="n">
        <v>10</v>
      </c>
      <c r="G18" s="14" t="n">
        <v>39052.88</v>
      </c>
      <c r="H18" s="14" t="n">
        <v>3905.288</v>
      </c>
      <c r="I18" s="13" t="inlineStr">
        <is>
          <t>PAID_RETARGETING</t>
        </is>
      </c>
      <c r="J18" s="31" t="n">
        <v>0.0006584478715599393</v>
      </c>
      <c r="K18" s="16" t="n">
        <v>0.03</v>
      </c>
      <c r="L18" s="32" t="n">
        <v>45.56169333333332</v>
      </c>
      <c r="M18" s="22" t="n">
        <v>40.10552399999999</v>
      </c>
      <c r="N18" s="13" t="inlineStr">
        <is>
          <t>CRITICAL</t>
        </is>
      </c>
      <c r="O18" s="13" t="inlineStr">
        <is>
          <t>TREATMENT</t>
        </is>
      </c>
    </row>
    <row r="19">
      <c r="A19" s="9" t="inlineStr">
        <is>
          <t>17450</t>
        </is>
      </c>
      <c r="B19" s="9" t="inlineStr">
        <is>
          <t>ACTIVE_VALUABLE</t>
        </is>
      </c>
      <c r="C19" s="12" t="n">
        <v>0.9290026217568631</v>
      </c>
      <c r="D19" s="9" t="n">
        <v>0</v>
      </c>
      <c r="E19" s="11" t="n">
        <v>0</v>
      </c>
      <c r="F19" s="9" t="n">
        <v>38</v>
      </c>
      <c r="G19" s="10" t="n">
        <v>213605.28</v>
      </c>
      <c r="H19" s="10" t="n">
        <v>5621.191578947369</v>
      </c>
      <c r="I19" s="9" t="inlineStr">
        <is>
          <t>LOYALTY_CROSS_SELL</t>
        </is>
      </c>
      <c r="J19" s="27" t="n">
        <v>6.099367688182347e-05</v>
      </c>
      <c r="K19" s="12" t="n">
        <v>0.02</v>
      </c>
      <c r="L19" s="28" t="n">
        <v>327.9028421052632</v>
      </c>
      <c r="M19" s="20" t="n">
        <v>39.22834105263158</v>
      </c>
      <c r="N19" s="9" t="inlineStr">
        <is>
          <t>CRITICAL</t>
        </is>
      </c>
      <c r="O19" s="9" t="inlineStr">
        <is>
          <t>TREATMENT</t>
        </is>
      </c>
    </row>
    <row r="20">
      <c r="A20" s="13" t="inlineStr">
        <is>
          <t>12415</t>
        </is>
      </c>
      <c r="B20" s="13" t="inlineStr">
        <is>
          <t>ACTIVE_VALUABLE</t>
        </is>
      </c>
      <c r="C20" s="16" t="n">
        <v>0.8759572902886634</v>
      </c>
      <c r="D20" s="13" t="n">
        <v>29</v>
      </c>
      <c r="E20" s="15" t="n">
        <v>1.332603938730853</v>
      </c>
      <c r="F20" s="13" t="n">
        <v>22</v>
      </c>
      <c r="G20" s="14" t="n">
        <v>121631.72</v>
      </c>
      <c r="H20" s="14" t="n">
        <v>5528.714545454545</v>
      </c>
      <c r="I20" s="13" t="inlineStr">
        <is>
          <t>LOYALTY_CROSS_SELL</t>
        </is>
      </c>
      <c r="J20" s="31" t="n">
        <v>6.201389853614783e-05</v>
      </c>
      <c r="K20" s="16" t="n">
        <v>0.02</v>
      </c>
      <c r="L20" s="32" t="n">
        <v>322.5083484848485</v>
      </c>
      <c r="M20" s="22" t="n">
        <v>38.58100181818182</v>
      </c>
      <c r="N20" s="13" t="inlineStr">
        <is>
          <t>CRITICAL</t>
        </is>
      </c>
      <c r="O20" s="13" t="inlineStr">
        <is>
          <t>TREATMENT</t>
        </is>
      </c>
    </row>
    <row r="21">
      <c r="A21" s="9" t="inlineStr">
        <is>
          <t>17450</t>
        </is>
      </c>
      <c r="B21" s="9" t="inlineStr">
        <is>
          <t>ACTIVE_VALUABLE</t>
        </is>
      </c>
      <c r="C21" s="12" t="n">
        <v>0.8730702347605465</v>
      </c>
      <c r="D21" s="9" t="n">
        <v>0</v>
      </c>
      <c r="E21" s="11" t="n">
        <v>0</v>
      </c>
      <c r="F21" s="9" t="n">
        <v>40</v>
      </c>
      <c r="G21" s="10" t="n">
        <v>217541.24</v>
      </c>
      <c r="H21" s="10" t="n">
        <v>5438.531</v>
      </c>
      <c r="I21" s="9" t="inlineStr">
        <is>
          <t>LOYALTY_CROSS_SELL</t>
        </is>
      </c>
      <c r="J21" s="27" t="n">
        <v>6.304223380489012e-05</v>
      </c>
      <c r="K21" s="12" t="n">
        <v>0.02</v>
      </c>
      <c r="L21" s="28" t="n">
        <v>317.2476416666667</v>
      </c>
      <c r="M21" s="20" t="n">
        <v>37.949717</v>
      </c>
      <c r="N21" s="9" t="inlineStr">
        <is>
          <t>CRITICAL</t>
        </is>
      </c>
      <c r="O21" s="9" t="inlineStr">
        <is>
          <t>TREATMENT</t>
        </is>
      </c>
    </row>
    <row r="22">
      <c r="A22" s="13" t="inlineStr">
        <is>
          <t>14091</t>
        </is>
      </c>
      <c r="B22" s="13" t="inlineStr">
        <is>
          <t>ACTIVE_VALUABLE</t>
        </is>
      </c>
      <c r="C22" s="16" t="n">
        <v>0.02084147156218894</v>
      </c>
      <c r="D22" s="13" t="n">
        <v>615</v>
      </c>
      <c r="E22" s="15" t="n">
        <v>0.9332321699544764</v>
      </c>
      <c r="F22" s="13" t="n">
        <v>2</v>
      </c>
      <c r="G22" s="14" t="n">
        <v>9530.08</v>
      </c>
      <c r="H22" s="14" t="n">
        <v>4765.04</v>
      </c>
      <c r="I22" s="13" t="inlineStr">
        <is>
          <t>LOYALTY_CROSS_SELL</t>
        </is>
      </c>
      <c r="J22" s="31" t="n">
        <v>7.195262639078431e-05</v>
      </c>
      <c r="K22" s="16" t="n">
        <v>0.02</v>
      </c>
      <c r="L22" s="32" t="n">
        <v>277.9606666666667</v>
      </c>
      <c r="M22" s="22" t="n">
        <v>33.23528</v>
      </c>
      <c r="N22" s="13" t="inlineStr">
        <is>
          <t>CRITICAL</t>
        </is>
      </c>
      <c r="O22" s="13" t="inlineStr">
        <is>
          <t>TREATMENT</t>
        </is>
      </c>
    </row>
    <row r="23">
      <c r="A23" s="9" t="inlineStr">
        <is>
          <t>14091</t>
        </is>
      </c>
      <c r="B23" s="9" t="inlineStr">
        <is>
          <t>ACTIVE_VALUABLE</t>
        </is>
      </c>
      <c r="C23" s="12" t="n">
        <v>0.02084147156218894</v>
      </c>
      <c r="D23" s="9" t="n">
        <v>584</v>
      </c>
      <c r="E23" s="11" t="n">
        <v>0.9299363057324841</v>
      </c>
      <c r="F23" s="9" t="n">
        <v>2</v>
      </c>
      <c r="G23" s="10" t="n">
        <v>9530.08</v>
      </c>
      <c r="H23" s="10" t="n">
        <v>4765.04</v>
      </c>
      <c r="I23" s="9" t="inlineStr">
        <is>
          <t>LOYALTY_CROSS_SELL</t>
        </is>
      </c>
      <c r="J23" s="27" t="n">
        <v>7.195262639078431e-05</v>
      </c>
      <c r="K23" s="12" t="n">
        <v>0.02</v>
      </c>
      <c r="L23" s="28" t="n">
        <v>277.9606666666667</v>
      </c>
      <c r="M23" s="20" t="n">
        <v>33.23528</v>
      </c>
      <c r="N23" s="9" t="inlineStr">
        <is>
          <t>CRITICAL</t>
        </is>
      </c>
      <c r="O23" s="9" t="inlineStr">
        <is>
          <t>TREATMENT</t>
        </is>
      </c>
    </row>
    <row r="24">
      <c r="A24" s="13" t="inlineStr">
        <is>
          <t>14088</t>
        </is>
      </c>
      <c r="B24" s="13" t="inlineStr">
        <is>
          <t>ACTIVE_VALUABLE</t>
        </is>
      </c>
      <c r="C24" s="16" t="n">
        <v>0.5259151718008046</v>
      </c>
      <c r="D24" s="13" t="n">
        <v>15</v>
      </c>
      <c r="E24" s="15" t="n">
        <v>0.3926701570680628</v>
      </c>
      <c r="F24" s="13" t="n">
        <v>11</v>
      </c>
      <c r="G24" s="14" t="n">
        <v>47185.19</v>
      </c>
      <c r="H24" s="14" t="n">
        <v>4289.562727272728</v>
      </c>
      <c r="I24" s="13" t="inlineStr">
        <is>
          <t>LOYALTY_CROSS_SELL</t>
        </is>
      </c>
      <c r="J24" s="31" t="n">
        <v>7.992822687433431e-05</v>
      </c>
      <c r="K24" s="16" t="n">
        <v>0.02</v>
      </c>
      <c r="L24" s="32" t="n">
        <v>250.2244924242425</v>
      </c>
      <c r="M24" s="22" t="n">
        <v>29.90693909090909</v>
      </c>
      <c r="N24" s="13" t="inlineStr">
        <is>
          <t>CRITICAL</t>
        </is>
      </c>
      <c r="O24" s="13" t="inlineStr">
        <is>
          <t>TREATMENT</t>
        </is>
      </c>
    </row>
    <row r="25">
      <c r="A25" s="9" t="inlineStr">
        <is>
          <t>18102</t>
        </is>
      </c>
      <c r="B25" s="9" t="inlineStr">
        <is>
          <t>ACTIVE_VALUABLE</t>
        </is>
      </c>
      <c r="C25" s="12" t="n">
        <v>0.965064914003696</v>
      </c>
      <c r="D25" s="9" t="n">
        <v>10</v>
      </c>
      <c r="E25" s="11" t="n">
        <v>1.931330472103004</v>
      </c>
      <c r="F25" s="9" t="n">
        <v>136</v>
      </c>
      <c r="G25" s="10" t="n">
        <v>582005.03</v>
      </c>
      <c r="H25" s="10" t="n">
        <v>4279.44875</v>
      </c>
      <c r="I25" s="9" t="inlineStr">
        <is>
          <t>LOYALTY_CROSS_SELL</t>
        </is>
      </c>
      <c r="J25" s="27" t="n">
        <v>8.01171279027802e-05</v>
      </c>
      <c r="K25" s="12" t="n">
        <v>0.02</v>
      </c>
      <c r="L25" s="28" t="n">
        <v>249.6345104166667</v>
      </c>
      <c r="M25" s="20" t="n">
        <v>29.83614125</v>
      </c>
      <c r="N25" s="9" t="inlineStr">
        <is>
          <t>CRITICAL</t>
        </is>
      </c>
      <c r="O25" s="9" t="inlineStr">
        <is>
          <t>TREATMENT</t>
        </is>
      </c>
    </row>
    <row r="26">
      <c r="A26" s="13" t="inlineStr">
        <is>
          <t>18102</t>
        </is>
      </c>
      <c r="B26" s="13" t="inlineStr">
        <is>
          <t>ACTIVE_VALUABLE</t>
        </is>
      </c>
      <c r="C26" s="16" t="n">
        <v>0.9564413560564081</v>
      </c>
      <c r="D26" s="13" t="n">
        <v>2</v>
      </c>
      <c r="E26" s="15" t="n">
        <v>0.3712574850299402</v>
      </c>
      <c r="F26" s="13" t="n">
        <v>125</v>
      </c>
      <c r="G26" s="14" t="n">
        <v>529323.76</v>
      </c>
      <c r="H26" s="14" t="n">
        <v>4234.59008</v>
      </c>
      <c r="I26" s="13" t="inlineStr">
        <is>
          <t>LOYALTY_CROSS_SELL</t>
        </is>
      </c>
      <c r="J26" s="31" t="n">
        <v>8.09658399939252e-05</v>
      </c>
      <c r="K26" s="16" t="n">
        <v>0.02</v>
      </c>
      <c r="L26" s="32" t="n">
        <v>247.0177546666666</v>
      </c>
      <c r="M26" s="22" t="n">
        <v>29.52213056</v>
      </c>
      <c r="N26" s="13" t="inlineStr">
        <is>
          <t>CRITICAL</t>
        </is>
      </c>
      <c r="O26" s="13" t="inlineStr">
        <is>
          <t>TREATMENT</t>
        </is>
      </c>
    </row>
    <row r="27">
      <c r="A27" s="9" t="inlineStr">
        <is>
          <t>12536</t>
        </is>
      </c>
      <c r="B27" s="9" t="inlineStr">
        <is>
          <t>ACTIVE_VALUABLE</t>
        </is>
      </c>
      <c r="C27" s="12" t="n">
        <v>0.7636937979181964</v>
      </c>
      <c r="D27" s="9" t="n">
        <v>4</v>
      </c>
      <c r="E27" s="11" t="n">
        <v>0.4</v>
      </c>
      <c r="F27" s="9" t="n">
        <v>3</v>
      </c>
      <c r="G27" s="10" t="n">
        <v>12601.83</v>
      </c>
      <c r="H27" s="10" t="n">
        <v>4200.610000000001</v>
      </c>
      <c r="I27" s="9" t="inlineStr">
        <is>
          <t>LOYALTY_CROSS_SELL</t>
        </is>
      </c>
      <c r="J27" s="27" t="n">
        <v>8.162079861190228e-05</v>
      </c>
      <c r="K27" s="12" t="n">
        <v>0.02</v>
      </c>
      <c r="L27" s="28" t="n">
        <v>245.0355833333333</v>
      </c>
      <c r="M27" s="20" t="n">
        <v>29.28427</v>
      </c>
      <c r="N27" s="9" t="inlineStr">
        <is>
          <t>CRITICAL</t>
        </is>
      </c>
      <c r="O27" s="9" t="inlineStr">
        <is>
          <t>TREATMENT</t>
        </is>
      </c>
    </row>
    <row r="28">
      <c r="A28" s="13" t="inlineStr">
        <is>
          <t>16684</t>
        </is>
      </c>
      <c r="B28" s="13" t="inlineStr">
        <is>
          <t>LAPSING_VALUABLE</t>
        </is>
      </c>
      <c r="C28" s="16" t="n">
        <v>0.4959146023213187</v>
      </c>
      <c r="D28" s="13" t="n">
        <v>63</v>
      </c>
      <c r="E28" s="15" t="n">
        <v>4.187311178247734</v>
      </c>
      <c r="F28" s="13" t="n">
        <v>45</v>
      </c>
      <c r="G28" s="14" t="n">
        <v>114372.71</v>
      </c>
      <c r="H28" s="14" t="n">
        <v>2541.615777777778</v>
      </c>
      <c r="I28" s="13" t="inlineStr">
        <is>
          <t>PAID_RETARGETING</t>
        </is>
      </c>
      <c r="J28" s="31" t="n">
        <v>0.001011729858585022</v>
      </c>
      <c r="K28" s="16" t="n">
        <v>0.03</v>
      </c>
      <c r="L28" s="32" t="n">
        <v>29.65218407407408</v>
      </c>
      <c r="M28" s="22" t="n">
        <v>25.78696566666667</v>
      </c>
      <c r="N28" s="13" t="inlineStr">
        <is>
          <t>CRITICAL</t>
        </is>
      </c>
      <c r="O28" s="13" t="inlineStr">
        <is>
          <t>CONTROL</t>
        </is>
      </c>
    </row>
    <row r="29">
      <c r="A29" s="9" t="inlineStr">
        <is>
          <t>14063</t>
        </is>
      </c>
      <c r="B29" s="9" t="inlineStr">
        <is>
          <t>LAPSING_VALUABLE</t>
        </is>
      </c>
      <c r="C29" s="12" t="n">
        <v>0.05424567489238603</v>
      </c>
      <c r="D29" s="9" t="n">
        <v>368</v>
      </c>
      <c r="E29" s="11" t="n">
        <v>4.453857791225416</v>
      </c>
      <c r="F29" s="9" t="n">
        <v>9</v>
      </c>
      <c r="G29" s="10" t="n">
        <v>22710.2</v>
      </c>
      <c r="H29" s="10" t="n">
        <v>2523.355555555556</v>
      </c>
      <c r="I29" s="9" t="inlineStr">
        <is>
          <t>PAID_RETARGETING</t>
        </is>
      </c>
      <c r="J29" s="27" t="n">
        <v>0.00101905122556636</v>
      </c>
      <c r="K29" s="12" t="n">
        <v>0.03</v>
      </c>
      <c r="L29" s="28" t="n">
        <v>29.43914814814815</v>
      </c>
      <c r="M29" s="20" t="n">
        <v>25.59523333333334</v>
      </c>
      <c r="N29" s="9" t="inlineStr">
        <is>
          <t>CRITICAL</t>
        </is>
      </c>
      <c r="O29" s="9" t="inlineStr">
        <is>
          <t>TREATMENT</t>
        </is>
      </c>
    </row>
    <row r="30">
      <c r="A30" s="13" t="inlineStr">
        <is>
          <t>14063</t>
        </is>
      </c>
      <c r="B30" s="13" t="inlineStr">
        <is>
          <t>LAPSING_VALUABLE</t>
        </is>
      </c>
      <c r="C30" s="16" t="n">
        <v>0.04409205607684834</v>
      </c>
      <c r="D30" s="13" t="n">
        <v>399</v>
      </c>
      <c r="E30" s="15" t="n">
        <v>4.61271676300578</v>
      </c>
      <c r="F30" s="13" t="n">
        <v>9</v>
      </c>
      <c r="G30" s="14" t="n">
        <v>22710.2</v>
      </c>
      <c r="H30" s="14" t="n">
        <v>2523.355555555556</v>
      </c>
      <c r="I30" s="13" t="inlineStr">
        <is>
          <t>PAID_RETARGETING</t>
        </is>
      </c>
      <c r="J30" s="31" t="n">
        <v>0.00101905122556636</v>
      </c>
      <c r="K30" s="16" t="n">
        <v>0.03</v>
      </c>
      <c r="L30" s="32" t="n">
        <v>29.43914814814815</v>
      </c>
      <c r="M30" s="22" t="n">
        <v>25.59523333333334</v>
      </c>
      <c r="N30" s="13" t="inlineStr">
        <is>
          <t>CRITICAL</t>
        </is>
      </c>
      <c r="O30" s="13" t="inlineStr">
        <is>
          <t>TREATMENT</t>
        </is>
      </c>
    </row>
    <row r="31">
      <c r="A31" s="9" t="inlineStr">
        <is>
          <t>14646</t>
        </is>
      </c>
      <c r="B31" s="9" t="inlineStr">
        <is>
          <t>ACTIVE_VALUABLE</t>
        </is>
      </c>
      <c r="C31" s="12" t="n">
        <v>0.9745874680975297</v>
      </c>
      <c r="D31" s="9" t="n">
        <v>8</v>
      </c>
      <c r="E31" s="11" t="n">
        <v>1.475262368815592</v>
      </c>
      <c r="F31" s="9" t="n">
        <v>124</v>
      </c>
      <c r="G31" s="10" t="n">
        <v>451503.14</v>
      </c>
      <c r="H31" s="10" t="n">
        <v>3641.15435483871</v>
      </c>
      <c r="I31" s="9" t="inlineStr">
        <is>
          <t>LOYALTY_CROSS_SELL</t>
        </is>
      </c>
      <c r="J31" s="27" t="n">
        <v>9.416166123293342e-05</v>
      </c>
      <c r="K31" s="12" t="n">
        <v>0.02</v>
      </c>
      <c r="L31" s="28" t="n">
        <v>212.4006706989248</v>
      </c>
      <c r="M31" s="20" t="n">
        <v>25.36808048387097</v>
      </c>
      <c r="N31" s="9" t="inlineStr">
        <is>
          <t>CRITICAL</t>
        </is>
      </c>
      <c r="O31" s="9" t="inlineStr">
        <is>
          <t>TREATMENT</t>
        </is>
      </c>
    </row>
    <row r="32">
      <c r="A32" s="13" t="inlineStr">
        <is>
          <t>14646</t>
        </is>
      </c>
      <c r="B32" s="13" t="inlineStr">
        <is>
          <t>ACTIVE_VALUABLE</t>
        </is>
      </c>
      <c r="C32" s="16" t="n">
        <v>0.9760332476187352</v>
      </c>
      <c r="D32" s="13" t="n">
        <v>4</v>
      </c>
      <c r="E32" s="15" t="n">
        <v>0.7736389684813754</v>
      </c>
      <c r="F32" s="13" t="n">
        <v>136</v>
      </c>
      <c r="G32" s="14" t="n">
        <v>491499.09</v>
      </c>
      <c r="H32" s="14" t="n">
        <v>3613.963897058823</v>
      </c>
      <c r="I32" s="13" t="inlineStr">
        <is>
          <t>LOYALTY_CROSS_SELL</t>
        </is>
      </c>
      <c r="J32" s="31" t="n">
        <v>9.487010734561366e-05</v>
      </c>
      <c r="K32" s="16" t="n">
        <v>0.02</v>
      </c>
      <c r="L32" s="32" t="n">
        <v>210.8145606617647</v>
      </c>
      <c r="M32" s="22" t="n">
        <v>25.17774727941176</v>
      </c>
      <c r="N32" s="13" t="inlineStr">
        <is>
          <t>CRITICAL</t>
        </is>
      </c>
      <c r="O32" s="13" t="inlineStr">
        <is>
          <t>TREATMENT</t>
        </is>
      </c>
    </row>
    <row r="33">
      <c r="A33" s="9" t="inlineStr">
        <is>
          <t>12688</t>
        </is>
      </c>
      <c r="B33" s="9" t="inlineStr">
        <is>
          <t>NEW_UNPROVEN</t>
        </is>
      </c>
      <c r="C33" s="12" t="n">
        <v>0.08128477605741899</v>
      </c>
      <c r="D33" s="9" t="n">
        <v>74</v>
      </c>
      <c r="E33" s="11" t="n"/>
      <c r="F33" s="9" t="n">
        <v>1</v>
      </c>
      <c r="G33" s="10" t="n">
        <v>4873.809999999999</v>
      </c>
      <c r="H33" s="10" t="n">
        <v>4873.809999999999</v>
      </c>
      <c r="I33" s="9" t="inlineStr">
        <is>
          <t>SECOND_PURCHASE_JOURNEY</t>
        </is>
      </c>
      <c r="J33" s="27" t="n">
        <v>0.01361585543946144</v>
      </c>
      <c r="K33" s="12" t="n">
        <v>0.03</v>
      </c>
      <c r="L33" s="28" t="n">
        <v>2.203313639263096</v>
      </c>
      <c r="M33" s="20" t="n">
        <v>23.95596228017953</v>
      </c>
      <c r="N33" s="9" t="inlineStr">
        <is>
          <t>CRITICAL</t>
        </is>
      </c>
      <c r="O33" s="9" t="inlineStr">
        <is>
          <t>TREATMENT</t>
        </is>
      </c>
    </row>
    <row r="34">
      <c r="A34" s="13" t="inlineStr">
        <is>
          <t>16754</t>
        </is>
      </c>
      <c r="B34" s="13" t="inlineStr">
        <is>
          <t>LAPSING_VALUABLE</t>
        </is>
      </c>
      <c r="C34" s="16" t="n">
        <v>0.115844765159186</v>
      </c>
      <c r="D34" s="13" t="n">
        <v>333</v>
      </c>
      <c r="E34" s="15" t="n">
        <v>15.48837209302326</v>
      </c>
      <c r="F34" s="13" t="n">
        <v>29</v>
      </c>
      <c r="G34" s="14" t="n">
        <v>67502.47</v>
      </c>
      <c r="H34" s="14" t="n">
        <v>2327.671379310345</v>
      </c>
      <c r="I34" s="13" t="inlineStr">
        <is>
          <t>PAID_RETARGETING</t>
        </is>
      </c>
      <c r="J34" s="31" t="n">
        <v>0.001104721480138854</v>
      </c>
      <c r="K34" s="16" t="n">
        <v>0.03</v>
      </c>
      <c r="L34" s="32" t="n">
        <v>27.15616609195402</v>
      </c>
      <c r="M34" s="22" t="n">
        <v>23.54054948275862</v>
      </c>
      <c r="N34" s="13" t="inlineStr">
        <is>
          <t>CRITICAL</t>
        </is>
      </c>
      <c r="O34" s="13" t="inlineStr">
        <is>
          <t>TREATMENT</t>
        </is>
      </c>
    </row>
    <row r="36">
      <c r="A36" s="7" t="inlineStr">
        <is>
          <t>Read one row aloud and it becomes a sentence: this customer is LAPSING_VALUABLE, scores 31%, has spent heavily, and is 2.8x past their own normal gap. The recommended win-back needs 0.9pp of incremental conversion to break even; we assume 7pp. That is a decision a marketer can accept, reject or argue with.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19" customWidth="1" min="3" max="3"/>
    <col width="12" customWidth="1" min="4" max="4"/>
    <col width="20" customWidth="1" min="5" max="5"/>
    <col width="26" customWidth="1" min="6" max="6"/>
    <col width="28" customWidth="1" min="7" max="7"/>
    <col width="32" customWidth="1" min="8" max="8"/>
    <col width="20" customWidth="1" min="9" max="9"/>
  </cols>
  <sheetData>
    <row r="1">
      <c r="A1" s="1" t="inlineStr">
        <is>
          <t>What this cycle costs, and what it must deliver</t>
        </is>
      </c>
    </row>
    <row r="2">
      <c r="A2" s="2" t="inlineStr">
        <is>
          <t>median_required_uplift_pp is the column to argue about in a planning meeting.</t>
        </is>
      </c>
    </row>
    <row r="4">
      <c r="A4" s="8" t="inlineStr">
        <is>
          <t>action</t>
        </is>
      </c>
      <c r="B4" s="8" t="inlineStr">
        <is>
          <t>label</t>
        </is>
      </c>
      <c r="C4" s="8" t="inlineStr">
        <is>
          <t>channel</t>
        </is>
      </c>
      <c r="D4" s="8" t="inlineStr">
        <is>
          <t>customers</t>
        </is>
      </c>
      <c r="E4" s="8" t="inlineStr">
        <is>
          <t>fixed_cost</t>
        </is>
      </c>
      <c r="F4" s="8" t="inlineStr">
        <is>
          <t>expected_incentive_cost</t>
        </is>
      </c>
      <c r="G4" s="8" t="inlineStr">
        <is>
          <t>median_required_uplift_pp</t>
        </is>
      </c>
      <c r="H4" s="8" t="inlineStr">
        <is>
          <t>expected_net_margin_if_assumption_holds</t>
        </is>
      </c>
      <c r="I4" s="8" t="inlineStr">
        <is>
          <t>total_cost</t>
        </is>
      </c>
    </row>
    <row r="5">
      <c r="A5" s="9" t="inlineStr">
        <is>
          <t>SECOND_PURCHASE_JOURNEY</t>
        </is>
      </c>
      <c r="B5" s="9" t="inlineStr">
        <is>
          <t>Second-purchase journey</t>
        </is>
      </c>
      <c r="C5" s="9" t="inlineStr">
        <is>
          <t>email sequence</t>
        </is>
      </c>
      <c r="D5" s="9" t="n">
        <v>2926</v>
      </c>
      <c r="E5" s="20" t="n">
        <v>292.6</v>
      </c>
      <c r="F5" s="20" t="n">
        <v>4202.651376526097</v>
      </c>
      <c r="G5" s="11" t="n">
        <v>1.003282254190825</v>
      </c>
      <c r="H5" s="20" t="n">
        <v>5535.861505473902</v>
      </c>
      <c r="I5" s="20" t="n">
        <v>4495.251376526097</v>
      </c>
    </row>
    <row r="6">
      <c r="A6" s="13" t="inlineStr">
        <is>
          <t>PAID_RETARGETING</t>
        </is>
      </c>
      <c r="B6" s="13" t="inlineStr">
        <is>
          <t>Paid retargeting</t>
        </is>
      </c>
      <c r="C6" s="13" t="inlineStr">
        <is>
          <t>paid media</t>
        </is>
      </c>
      <c r="D6" s="13" t="n">
        <v>767</v>
      </c>
      <c r="E6" s="22" t="n">
        <v>690.3000000000001</v>
      </c>
      <c r="F6" s="22" t="n">
        <v>0</v>
      </c>
      <c r="G6" s="15" t="n">
        <v>0.5733013558577067</v>
      </c>
      <c r="H6" s="22" t="n">
        <v>4231.470893808418</v>
      </c>
      <c r="I6" s="22" t="n">
        <v>690.3000000000001</v>
      </c>
    </row>
    <row r="7">
      <c r="A7" s="9" t="inlineStr">
        <is>
          <t>SERVICE_REVIEW</t>
        </is>
      </c>
      <c r="B7" s="9" t="inlineStr">
        <is>
          <t>Service / product-fit review</t>
        </is>
      </c>
      <c r="C7" s="9" t="inlineStr">
        <is>
          <t>operations</t>
        </is>
      </c>
      <c r="D7" s="9" t="n">
        <v>150</v>
      </c>
      <c r="E7" s="20" t="n">
        <v>375</v>
      </c>
      <c r="F7" s="20" t="n">
        <v>0</v>
      </c>
      <c r="G7" s="11" t="n">
        <v>1.736216501108481</v>
      </c>
      <c r="H7" s="20" t="n">
        <v>-375</v>
      </c>
      <c r="I7" s="20" t="n">
        <v>375</v>
      </c>
    </row>
    <row r="8">
      <c r="A8" s="13" t="inlineStr">
        <is>
          <t>LOYALTY_CROSS_SELL</t>
        </is>
      </c>
      <c r="B8" s="13" t="inlineStr">
        <is>
          <t>Loyalty / early access</t>
        </is>
      </c>
      <c r="C8" s="13" t="inlineStr">
        <is>
          <t>email + curation</t>
        </is>
      </c>
      <c r="D8" s="13" t="n">
        <v>2043</v>
      </c>
      <c r="E8" s="22" t="n">
        <v>245.16</v>
      </c>
      <c r="F8" s="22" t="n">
        <v>0</v>
      </c>
      <c r="G8" s="15" t="n">
        <v>0.0824790451675871</v>
      </c>
      <c r="H8" s="22" t="n">
        <v>7578.132540866957</v>
      </c>
      <c r="I8" s="22" t="n">
        <v>245.16</v>
      </c>
    </row>
    <row r="9">
      <c r="A9" s="9" t="inlineStr">
        <is>
          <t>OWNED_RECOMMENDATION</t>
        </is>
      </c>
      <c r="B9" s="9" t="inlineStr">
        <is>
          <t>Owned recommendation</t>
        </is>
      </c>
      <c r="C9" s="9" t="inlineStr">
        <is>
          <t>email/app</t>
        </is>
      </c>
      <c r="D9" s="9" t="n">
        <v>3002</v>
      </c>
      <c r="E9" s="20" t="n">
        <v>60.04</v>
      </c>
      <c r="F9" s="20" t="n">
        <v>0</v>
      </c>
      <c r="G9" s="11" t="n">
        <v>0.02476385442849937</v>
      </c>
      <c r="H9" s="20" t="n">
        <v>2664.190022920136</v>
      </c>
      <c r="I9" s="20" t="n">
        <v>60.04</v>
      </c>
    </row>
    <row r="10">
      <c r="A10" s="13" t="inlineStr">
        <is>
          <t>REACTIVATION_SEQUENCE</t>
        </is>
      </c>
      <c r="B10" s="13" t="inlineStr">
        <is>
          <t>Reactivation sequence</t>
        </is>
      </c>
      <c r="C10" s="13" t="inlineStr">
        <is>
          <t>email sequence</t>
        </is>
      </c>
      <c r="D10" s="13" t="n">
        <v>227</v>
      </c>
      <c r="E10" s="22" t="n">
        <v>34.05</v>
      </c>
      <c r="F10" s="22" t="n">
        <v>0</v>
      </c>
      <c r="G10" s="15" t="n">
        <v>0.1536496769289587</v>
      </c>
      <c r="H10" s="22" t="n">
        <v>504.5141258283336</v>
      </c>
      <c r="I10" s="22" t="n">
        <v>34.05</v>
      </c>
    </row>
    <row r="11">
      <c r="A11" s="9" t="inlineStr">
        <is>
          <t>LOW_COST_NURTURE</t>
        </is>
      </c>
      <c r="B11" s="9" t="inlineStr">
        <is>
          <t>Low-cost nurture</t>
        </is>
      </c>
      <c r="C11" s="9" t="inlineStr">
        <is>
          <t>owned only</t>
        </is>
      </c>
      <c r="D11" s="9" t="n">
        <v>1097</v>
      </c>
      <c r="E11" s="20" t="n">
        <v>21.94</v>
      </c>
      <c r="F11" s="20" t="n">
        <v>0</v>
      </c>
      <c r="G11" s="11" t="n">
        <v>0.02747649042787765</v>
      </c>
      <c r="H11" s="20" t="n">
        <v>410.7521748589743</v>
      </c>
      <c r="I11" s="20" t="n">
        <v>21.94</v>
      </c>
    </row>
    <row r="12">
      <c r="A12" s="34" t="inlineStr">
        <is>
          <t>TOTAL</t>
        </is>
      </c>
      <c r="D12" s="35">
        <f>SUM(D5:D11)</f>
        <v/>
      </c>
      <c r="E12" s="36">
        <f>SUM(E5:E11)</f>
        <v/>
      </c>
      <c r="F12" s="36">
        <f>SUM(F5:F11)</f>
        <v/>
      </c>
      <c r="I12" s="36">
        <f>SUM(I5:I11)</f>
        <v/>
      </c>
    </row>
    <row r="14">
      <c r="A14" s="7" t="inlineStr">
        <is>
          <t>Notice the split between delivery cost and incentive cost. Owned channels reach thousands for almost nothing; the money concentrates in the few cells where margin is handed over. That concentration is exactly what the break-even test is there to police.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22" customWidth="1" min="4" max="4"/>
    <col width="23" customWidth="1" min="5" max="5"/>
    <col width="20" customWidth="1" min="6" max="6"/>
    <col width="16" customWidth="1" min="7" max="7"/>
  </cols>
  <sheetData>
    <row r="1">
      <c r="A1" s="1" t="inlineStr">
        <is>
          <t>Control cells, and what they can actually detect</t>
        </is>
      </c>
    </row>
    <row r="2">
      <c r="A2" s="2" t="inlineStr">
        <is>
          <t>Every treated cell reserves 10% as control, assigned by deterministic hash.</t>
        </is>
      </c>
    </row>
    <row r="4">
      <c r="A4" s="8" t="inlineStr">
        <is>
          <t>action</t>
        </is>
      </c>
      <c r="B4" s="8" t="inlineStr">
        <is>
          <t>CONTROL</t>
        </is>
      </c>
      <c r="C4" s="8" t="inlineStr">
        <is>
          <t>TREATMENT</t>
        </is>
      </c>
      <c r="D4" s="8" t="inlineStr">
        <is>
          <t>baseline_rate</t>
        </is>
      </c>
      <c r="E4" s="8" t="inlineStr">
        <is>
          <t>detectable_uplift_pp</t>
        </is>
      </c>
      <c r="F4" s="8" t="inlineStr">
        <is>
          <t>assumed_uplift_pp</t>
        </is>
      </c>
      <c r="G4" s="8" t="inlineStr">
        <is>
          <t>can_detect_it</t>
        </is>
      </c>
    </row>
    <row r="5">
      <c r="A5" s="9" t="inlineStr">
        <is>
          <t>LOW_COST_NURTURE</t>
        </is>
      </c>
      <c r="B5" s="9" t="n">
        <v>119</v>
      </c>
      <c r="C5" s="9" t="n">
        <v>978</v>
      </c>
      <c r="D5" s="12" t="n">
        <v>0.09471707491943746</v>
      </c>
      <c r="E5" s="11" t="n">
        <v>7.960213945190085</v>
      </c>
      <c r="F5" s="11" t="n">
        <v>0.5</v>
      </c>
      <c r="G5" s="9" t="inlineStr">
        <is>
          <t>no</t>
        </is>
      </c>
    </row>
    <row r="6">
      <c r="A6" s="13" t="inlineStr">
        <is>
          <t>LOYALTY_CROSS_SELL</t>
        </is>
      </c>
      <c r="B6" s="13" t="n">
        <v>199</v>
      </c>
      <c r="C6" s="13" t="n">
        <v>1844</v>
      </c>
      <c r="D6" s="16" t="n">
        <v>0.4097136121743679</v>
      </c>
      <c r="E6" s="15" t="n">
        <v>10.2744077894286</v>
      </c>
      <c r="F6" s="15" t="n">
        <v>2</v>
      </c>
      <c r="G6" s="13" t="inlineStr">
        <is>
          <t>no</t>
        </is>
      </c>
    </row>
    <row r="7">
      <c r="A7" s="9" t="inlineStr">
        <is>
          <t>OWNED_RECOMMENDATION</t>
        </is>
      </c>
      <c r="B7" s="9" t="n">
        <v>317</v>
      </c>
      <c r="C7" s="9" t="n">
        <v>2685</v>
      </c>
      <c r="D7" s="12" t="n">
        <v>0.1489317699548021</v>
      </c>
      <c r="E7" s="11" t="n">
        <v>5.920214796098531</v>
      </c>
      <c r="F7" s="11" t="n">
        <v>1</v>
      </c>
      <c r="G7" s="9" t="inlineStr">
        <is>
          <t>no</t>
        </is>
      </c>
    </row>
    <row r="8">
      <c r="A8" s="13" t="inlineStr">
        <is>
          <t>PAID_RETARGETING</t>
        </is>
      </c>
      <c r="B8" s="13" t="n">
        <v>74</v>
      </c>
      <c r="C8" s="13" t="n">
        <v>693</v>
      </c>
      <c r="D8" s="16" t="n">
        <v>0.208845055146122</v>
      </c>
      <c r="E8" s="15" t="n">
        <v>13.91925874474782</v>
      </c>
      <c r="F8" s="15" t="n">
        <v>3</v>
      </c>
      <c r="G8" s="13" t="inlineStr">
        <is>
          <t>no</t>
        </is>
      </c>
    </row>
    <row r="9">
      <c r="A9" s="9" t="inlineStr">
        <is>
          <t>REACTIVATION_SEQUENCE</t>
        </is>
      </c>
      <c r="B9" s="9" t="n">
        <v>21</v>
      </c>
      <c r="C9" s="9" t="n">
        <v>206</v>
      </c>
      <c r="D9" s="12" t="n">
        <v>0.4670766607442696</v>
      </c>
      <c r="E9" s="11" t="n">
        <v>32.0003078213572</v>
      </c>
      <c r="F9" s="11" t="n">
        <v>2.5</v>
      </c>
      <c r="G9" s="9" t="inlineStr">
        <is>
          <t>no</t>
        </is>
      </c>
    </row>
    <row r="10">
      <c r="A10" s="13" t="inlineStr">
        <is>
          <t>SECOND_PURCHASE_JOURNEY</t>
        </is>
      </c>
      <c r="B10" s="13" t="n">
        <v>283</v>
      </c>
      <c r="C10" s="13" t="n">
        <v>2643</v>
      </c>
      <c r="D10" s="16" t="n">
        <v>0.05243895603057066</v>
      </c>
      <c r="E10" s="15" t="n">
        <v>3.903768094946356</v>
      </c>
      <c r="F10" s="15" t="n">
        <v>3</v>
      </c>
      <c r="G10" s="13" t="inlineStr">
        <is>
          <t>no</t>
        </is>
      </c>
    </row>
    <row r="11">
      <c r="A11" s="9" t="inlineStr">
        <is>
          <t>SERVICE_REVIEW</t>
        </is>
      </c>
      <c r="B11" s="9" t="n">
        <v>16</v>
      </c>
      <c r="C11" s="9" t="n">
        <v>134</v>
      </c>
      <c r="D11" s="12" t="n">
        <v>0.2965248027830566</v>
      </c>
      <c r="E11" s="11" t="n">
        <v>33.82565212952918</v>
      </c>
      <c r="F11" s="11" t="n">
        <v>0</v>
      </c>
      <c r="G11" s="9" t="inlineStr">
        <is>
          <t>no</t>
        </is>
      </c>
    </row>
    <row r="13">
      <c r="A13" s="7" t="inlineStr">
        <is>
          <t>Any cell where can_detect_it says 'no' is too small to prove the effect it is assuming. Running it produces a number nobody can interpret either way. Fix it by pooling several cycles, enlarging the cell, or saying out loud that the result is directional only.</t>
        </is>
      </c>
    </row>
    <row r="15">
      <c r="A15" s="7" t="inlineStr">
        <is>
          <t>Next cycle the measurement is one subtraction: repeat_rate(TREATMENT) minus repeat_rate(CONTROL), per cell. That number replaces the assumed uplift on sheet 04, and becomes the training data for an uplift model — where the question changes from 'who will buy' to 'who will buy BECAUSE we acted'.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3" customWidth="1" min="3" max="3"/>
    <col width="22" customWidth="1" min="4" max="4"/>
    <col width="21" customWidth="1" min="5" max="5"/>
    <col width="21" customWidth="1" min="6" max="6"/>
    <col width="34" customWidth="1" min="7" max="7"/>
    <col width="34" customWidth="1" min="8" max="8"/>
    <col width="26" customWidth="1" min="9" max="9"/>
    <col width="62" customWidth="1" min="10" max="10"/>
    <col width="46" customWidth="1" min="11" max="11"/>
    <col width="34" customWidth="1" min="12" max="12"/>
  </cols>
  <sheetData>
    <row r="1">
      <c r="A1" s="1" t="inlineStr">
        <is>
          <t>What each segment actually gets</t>
        </is>
      </c>
    </row>
    <row r="2">
      <c r="A2" s="2" t="inlineStr">
        <is>
          <t>The matrix says how many. This says what to do, what not to do, and how it is judged.</t>
        </is>
      </c>
    </row>
    <row r="4">
      <c r="A4" s="8" t="inlineStr">
        <is>
          <t>customer_state</t>
        </is>
      </c>
      <c r="B4" s="8" t="inlineStr">
        <is>
          <t>customers</t>
        </is>
      </c>
      <c r="C4" s="8" t="inlineStr">
        <is>
          <t>share</t>
        </is>
      </c>
      <c r="D4" s="8" t="inlineStr">
        <is>
          <t>avg_propensity</t>
        </is>
      </c>
      <c r="E4" s="8" t="inlineStr">
        <is>
          <t>median_spend</t>
        </is>
      </c>
      <c r="F4" s="8" t="inlineStr">
        <is>
          <t>median_days_silent</t>
        </is>
      </c>
      <c r="G4" s="8" t="inlineStr">
        <is>
          <t>who_they_are</t>
        </is>
      </c>
      <c r="H4" s="8" t="inlineStr">
        <is>
          <t>objective</t>
        </is>
      </c>
      <c r="I4" s="8" t="inlineStr">
        <is>
          <t>engine_action</t>
        </is>
      </c>
      <c r="J4" s="8" t="inlineStr">
        <is>
          <t>what_to_do</t>
        </is>
      </c>
      <c r="K4" s="8" t="inlineStr">
        <is>
          <t>what_to_avoid</t>
        </is>
      </c>
      <c r="L4" s="8" t="inlineStr">
        <is>
          <t>how_it_is_judged</t>
        </is>
      </c>
    </row>
    <row r="5" ht="92" customHeight="1">
      <c r="A5" s="37" t="inlineStr">
        <is>
          <t>SERVICE_RISK</t>
        </is>
      </c>
      <c r="B5" s="38" t="n">
        <v>701</v>
      </c>
      <c r="C5" s="39" t="n">
        <v>0.06317022618725782</v>
      </c>
      <c r="D5" s="39" t="n">
        <v>0.1737786035343135</v>
      </c>
      <c r="E5" s="40" t="n">
        <v>1404.68</v>
      </c>
      <c r="F5" s="40" t="n">
        <v>141</v>
      </c>
      <c r="G5" s="38" t="inlineStr">
        <is>
          <t>Returns 40%+ of what they order, across at least two orders.</t>
        </is>
      </c>
      <c r="H5" s="38" t="inlineStr">
        <is>
          <t>Fix the experience. Do not run a campaign.</t>
        </is>
      </c>
      <c r="I5" s="38" t="inlineStr">
        <is>
          <t>SERVICE_REVIEW</t>
        </is>
      </c>
      <c r="J5" s="38" t="inlineStr">
        <is>
          <t>1. Pull their returns by SKU and category — look for concentration
2. If one category dominates: sizing, description or quality issue, not a customer issue
3. Route to service for outreach; suppress from all promotional sends this cycle
4. Feed the SKU pattern back to merchandising</t>
        </is>
      </c>
      <c r="K5" s="41" t="inlineStr">
        <is>
          <t>Any offer. A discount on a product that does not fit increases return volume and the cost behind it.</t>
        </is>
      </c>
      <c r="L5" s="42" t="inlineStr">
        <is>
          <t>Return rate over the next 90 days. Not orders.</t>
        </is>
      </c>
    </row>
    <row r="6" ht="92" customHeight="1">
      <c r="A6" s="43" t="inlineStr">
        <is>
          <t>NEW_UNPROVEN</t>
        </is>
      </c>
      <c r="B6" s="44" t="n">
        <v>3258</v>
      </c>
      <c r="C6" s="45" t="n">
        <v>0.2935928629359286</v>
      </c>
      <c r="D6" s="45" t="n">
        <v>0.06923597108355885</v>
      </c>
      <c r="E6" s="46" t="n">
        <v>239</v>
      </c>
      <c r="F6" s="46" t="n">
        <v>342</v>
      </c>
      <c r="G6" s="44" t="inlineStr">
        <is>
          <t>Exactly one order. No rhythm yet — unmeasured, not churned.</t>
        </is>
      </c>
      <c r="H6" s="44" t="inlineStr">
        <is>
          <t>Turn one purchase into a habit.</t>
        </is>
      </c>
      <c r="I6" s="44" t="inlineStr">
        <is>
          <t>SECOND_PURCHASE_JOURNEY</t>
        </is>
      </c>
      <c r="J6" s="44" t="inlineStr">
        <is>
          <t>1. Day 2: how to get the most from what they bought. No sell
2. Day 7: one complementary item tied to the exact SKU purchased
3. Day 14: gentle category expansion
4. Day 21: small first-repeat incentive ONLY if still silent</t>
        </is>
      </c>
      <c r="K6" s="47" t="inlineStr">
        <is>
          <t>Discounting order two. It teaches a brand-new customer that waiting is rewarded, and you pay for every order after.</t>
        </is>
      </c>
      <c r="L6" s="48" t="inlineStr">
        <is>
          <t>Second-order rate at 60 days.</t>
        </is>
      </c>
    </row>
    <row r="7" ht="92" customHeight="1">
      <c r="A7" s="37" t="inlineStr">
        <is>
          <t>ACTIVE_VALUABLE</t>
        </is>
      </c>
      <c r="B7" s="38" t="n">
        <v>2043</v>
      </c>
      <c r="C7" s="39" t="n">
        <v>0.1841038118410381</v>
      </c>
      <c r="D7" s="39" t="n">
        <v>0.4090811414780801</v>
      </c>
      <c r="E7" s="40" t="n">
        <v>3823.3</v>
      </c>
      <c r="F7" s="40" t="n">
        <v>20</v>
      </c>
      <c r="G7" s="38" t="inlineStr">
        <is>
          <t>Buying on their own normal rhythm, top 30% by historic spend.</t>
        </is>
      </c>
      <c r="H7" s="38" t="inlineStr">
        <is>
          <t>Raise basket value without buying demand you already have.</t>
        </is>
      </c>
      <c r="I7" s="38" t="inlineStr">
        <is>
          <t>LOYALTY_CROSS_SELL</t>
        </is>
      </c>
      <c r="J7" s="38" t="inlineStr">
        <is>
          <t>1. Early access to new stock before general release
2. Curated cross-category recommendations from complementary SKUs
3. Free-shipping or gift threshold instead of % off — protects margin, lifts basket
4. Service perks: priority delivery, easier returns, named contact for the top decile</t>
        </is>
      </c>
      <c r="K7" s="41" t="inlineStr">
        <is>
          <t>Percentage discounts. This is the group where the deadweight cost is highest — you are paying them to do what they were doing.</t>
        </is>
      </c>
      <c r="L7" s="42" t="inlineStr">
        <is>
          <t>Items and value per order. Not conversion rate — theirs is already high and will not move.</t>
        </is>
      </c>
    </row>
    <row r="8" ht="92" customHeight="1">
      <c r="A8" s="43" t="inlineStr">
        <is>
          <t>ACTIVE_STANDARD</t>
        </is>
      </c>
      <c r="B8" s="44" t="n">
        <v>3001</v>
      </c>
      <c r="C8" s="45" t="n">
        <v>0.2704334504821123</v>
      </c>
      <c r="D8" s="45" t="n">
        <v>0.1438086762820583</v>
      </c>
      <c r="E8" s="46" t="n">
        <v>671.01</v>
      </c>
      <c r="F8" s="46" t="n">
        <v>101</v>
      </c>
      <c r="G8" s="44" t="inlineStr">
        <is>
          <t>Buying on their own normal rhythm, everyone else.</t>
        </is>
      </c>
      <c r="H8" s="44" t="inlineStr">
        <is>
          <t>Widen the relationship at near-zero cost.</t>
        </is>
      </c>
      <c r="I8" s="44" t="inlineStr">
        <is>
          <t>OWNED_RECOMMENDATION</t>
        </is>
      </c>
      <c r="J8" s="44" t="inlineStr">
        <is>
          <t>1. Automated post-purchase recommendations
2. Replenishment reminders timed to THEIR interpurchase gap, not a fixed 30 days
3. Category expansion based on what similar customers buy next</t>
        </is>
      </c>
      <c r="K8" s="47" t="inlineStr">
        <is>
          <t>Paid media and incentives. Owned channels already clear the bar here; anything paid does not.</t>
        </is>
      </c>
      <c r="L8" s="48" t="inlineStr">
        <is>
          <t>Incremental items per order, and category breadth over two cycles.</t>
        </is>
      </c>
    </row>
    <row r="9" ht="92" customHeight="1">
      <c r="A9" s="37" t="inlineStr">
        <is>
          <t>COOLING_VALUABLE</t>
        </is>
      </c>
      <c r="B9" s="38" t="n">
        <v>278</v>
      </c>
      <c r="C9" s="39" t="n">
        <v>0.02505181580607371</v>
      </c>
      <c r="D9" s="39" t="n">
        <v>0.5198039115395859</v>
      </c>
      <c r="E9" s="40" t="n">
        <v>5191</v>
      </c>
      <c r="F9" s="40" t="n">
        <v>57</v>
      </c>
      <c r="G9" s="38" t="inlineStr">
        <is>
          <t>1–2.5x past their own average gap, high value. Slowing, not stopped.</t>
        </is>
      </c>
      <c r="H9" s="38" t="inlineStr">
        <is>
          <t>Re-engage before cooling becomes dormancy — and before you have to pay for it.</t>
        </is>
      </c>
      <c r="I9" s="38" t="inlineStr">
        <is>
          <t>REACTIVATION_SEQUENCE</t>
        </is>
      </c>
      <c r="J9" s="38" t="inlineStr">
        <is>
          <t>1. Day 0: what's new in the categories they actually buy
2. Day 7: personalised recommendation from their top category
3. Day 14: paid retargeting — still no offer
4. Day 21: a targeted incentive ONLY if all three failed</t>
        </is>
      </c>
      <c r="K9" s="41" t="inlineStr">
        <is>
          <t>Leading with the discount. Open with an offer and you train a valuable customer to stop buying until one arrives.</t>
        </is>
      </c>
      <c r="L9" s="42" t="inlineStr">
        <is>
          <t>Return to activity within 1.5x their own gap.</t>
        </is>
      </c>
    </row>
    <row r="10" ht="92" customHeight="1">
      <c r="A10" s="43" t="inlineStr">
        <is>
          <t>COOLING_STANDARD</t>
        </is>
      </c>
      <c r="B10" s="44" t="n">
        <v>45</v>
      </c>
      <c r="C10" s="45" t="n">
        <v>0.0040551500405515</v>
      </c>
      <c r="D10" s="45" t="n">
        <v>0.304761444636898</v>
      </c>
      <c r="E10" s="46" t="n">
        <v>912.2500000000001</v>
      </c>
      <c r="F10" s="46" t="n">
        <v>77</v>
      </c>
      <c r="G10" s="44" t="inlineStr">
        <is>
          <t>1–2.5x past their own average gap, standard value.</t>
        </is>
      </c>
      <c r="H10" s="44" t="inlineStr">
        <is>
          <t>Same sequence, owned channels only.</t>
        </is>
      </c>
      <c r="I10" s="44" t="inlineStr">
        <is>
          <t>REACTIVATION_SEQUENCE</t>
        </is>
      </c>
      <c r="J10" s="44" t="inlineStr">
        <is>
          <t>1. Day 0: category refresh
2. Day 10: single personalised recommendation
3. Stop. Do not escalate to paid at this value level</t>
        </is>
      </c>
      <c r="K10" s="47" t="inlineStr">
        <is>
          <t>Escalating spend. The value does not support a second paid touch, and the break-even maths says so before you find out.</t>
        </is>
      </c>
      <c r="L10" s="48" t="inlineStr">
        <is>
          <t>Reactivation rate per pound of owned-channel cost.</t>
        </is>
      </c>
    </row>
    <row r="11" ht="92" customHeight="1">
      <c r="A11" s="37" t="inlineStr">
        <is>
          <t>LAPSING_VALUABLE</t>
        </is>
      </c>
      <c r="B11" s="38" t="n">
        <v>673</v>
      </c>
      <c r="C11" s="39" t="n">
        <v>0.06064702171758133</v>
      </c>
      <c r="D11" s="39" t="n">
        <v>0.1874838658641668</v>
      </c>
      <c r="E11" s="40" t="n">
        <v>3175.95</v>
      </c>
      <c r="F11" s="40" t="n">
        <v>209</v>
      </c>
      <c r="G11" s="38" t="inlineStr">
        <is>
          <t>Beyond 2.5x their own gap, high historic value. The segment that justifies the whole exercise.</t>
        </is>
      </c>
      <c r="H11" s="38" t="inlineStr">
        <is>
          <t>Win back a customer whose past value warrants real spend.</t>
        </is>
      </c>
      <c r="I11" s="38" t="inlineStr">
        <is>
          <t>PAID_RETARGETING</t>
        </is>
      </c>
      <c r="J11" s="38" t="inlineStr">
        <is>
          <t>1. Diagnose first: did they stop buying, or move category? The data distinguishes these
2. Lead with what CHANGED — new range, faster delivery, a fixed problem — not a % off
3. Human or concierge touch for the top decile; a real person, not a template
4. Meaningful one-time offer only after two owned attempts have failed</t>
        </is>
      </c>
      <c r="K11" s="41" t="inlineStr">
        <is>
          <t>Batching them with a low-value lapsed customer. A pure propensity model scores them identically. They are not the same customer.</t>
        </is>
      </c>
      <c r="L11" s="42" t="inlineStr">
        <is>
          <t>Win-back rate AND 12-month value after their return. First order value alone will understate it.</t>
        </is>
      </c>
    </row>
    <row r="12" ht="92" customHeight="1">
      <c r="A12" s="43" t="inlineStr">
        <is>
          <t>LAPSING_STANDARD</t>
        </is>
      </c>
      <c r="B12" s="44" t="n">
        <v>236</v>
      </c>
      <c r="C12" s="45" t="n">
        <v>0.02126700910155898</v>
      </c>
      <c r="D12" s="45" t="n">
        <v>0.1877397112697025</v>
      </c>
      <c r="E12" s="46" t="n">
        <v>1114.39</v>
      </c>
      <c r="F12" s="46" t="n">
        <v>140</v>
      </c>
      <c r="G12" s="44" t="inlineStr">
        <is>
          <t>Beyond 2.5x their own gap, standard value.</t>
        </is>
      </c>
      <c r="H12" s="44" t="inlineStr">
        <is>
          <t>One good attempt, then stop.</t>
        </is>
      </c>
      <c r="I12" s="44" t="inlineStr">
        <is>
          <t>LOW_COST_NURTURE</t>
        </is>
      </c>
      <c r="J12" s="44" t="inlineStr">
        <is>
          <t>1. Single batch reactivation with one clear offer
2. Suppress for a full cycle if there is no response</t>
        </is>
      </c>
      <c r="K12" s="47" t="inlineStr">
        <is>
          <t>Repeated attempts. Cost compounds every send; response rate does not.</t>
        </is>
      </c>
      <c r="L12" s="48" t="inlineStr">
        <is>
          <t>Cost per reactivated customer.</t>
        </is>
      </c>
    </row>
    <row r="13" ht="92" customHeight="1">
      <c r="A13" s="37" t="inlineStr">
        <is>
          <t>DORMANT</t>
        </is>
      </c>
      <c r="B13" s="38" t="n">
        <v>862</v>
      </c>
      <c r="C13" s="39" t="n">
        <v>0.07767865188789763</v>
      </c>
      <c r="D13" s="39" t="n">
        <v>0.07449277194699173</v>
      </c>
      <c r="E13" s="40" t="n">
        <v>906.3600000000001</v>
      </c>
      <c r="F13" s="40" t="n">
        <v>334</v>
      </c>
      <c r="G13" s="38" t="inlineStr">
        <is>
          <t>Over 180 days silent and below the value threshold.</t>
        </is>
      </c>
      <c r="H13" s="38" t="inlineStr">
        <is>
          <t>Stay present for almost nothing. Invest nothing further.</t>
        </is>
      </c>
      <c r="I13" s="38" t="inlineStr">
        <is>
          <t>LOW_COST_NURTURE</t>
        </is>
      </c>
      <c r="J13" s="38" t="inlineStr">
        <is>
          <t>1. Seasonal and newsletter only, cheapest owned channel
2. Use this group as the test bed for creative — the downside is near zero
3. Review list hygiene before deliverability suffers</t>
        </is>
      </c>
      <c r="K13" s="41" t="inlineStr">
        <is>
          <t>Any paid spend. Also avoid deleting them — they are your cheapest experiment population.</t>
        </is>
      </c>
      <c r="L13" s="42" t="inlineStr">
        <is>
          <t>Deliverability and list health. Revenue here is a bonus, not a target.</t>
        </is>
      </c>
    </row>
    <row r="15">
      <c r="A15" s="7" t="inlineStr">
        <is>
          <t>how_it_is_judged is the column people skip, and it is where most segmentation work quietly fails. Judge a loyalty programme on conversion rate and it looks useless — those customers were converting anyway. Judge a service review on orders and you will cancel it. Each state carries the metric its objective implies.</t>
        </is>
      </c>
    </row>
    <row r="17">
      <c r="A17" s="7" t="inlineStr">
        <is>
          <t>engine_action is what the break-even maths selected. what_to_do is the human execution behind that label. The two are separate on purpose: change the margin assumption and the action can move while the play stays the same.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2026-09-07T10:49:23Z</dcterms:created>
  <dcterms:modified xsi:type="dcterms:W3CDTF">2026-09-07T10:49:23Z</dcterms:modified>
</cp:coreProperties>
</file>